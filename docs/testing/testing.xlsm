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15315" windowHeight="6210" activeTab="1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S3" i="1" l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2" i="1"/>
  <c r="K7" i="1"/>
  <c r="I2" i="1"/>
  <c r="J2" i="1"/>
  <c r="I3" i="1"/>
  <c r="J3" i="1"/>
  <c r="I4" i="1"/>
  <c r="J4" i="1"/>
  <c r="I5" i="1"/>
  <c r="J5" i="1"/>
  <c r="I6" i="1"/>
  <c r="J6" i="1"/>
  <c r="I7" i="1"/>
  <c r="J7" i="1"/>
  <c r="I8" i="1"/>
  <c r="J8" i="1"/>
  <c r="I9" i="1"/>
  <c r="J9" i="1"/>
  <c r="I10" i="1"/>
  <c r="J10" i="1"/>
  <c r="I11" i="1"/>
  <c r="J11" i="1"/>
  <c r="I12" i="1"/>
  <c r="J12" i="1"/>
  <c r="I13" i="1"/>
  <c r="J13" i="1"/>
  <c r="I14" i="1"/>
  <c r="J14" i="1"/>
  <c r="I15" i="1"/>
  <c r="J15" i="1"/>
  <c r="I16" i="1"/>
  <c r="J16" i="1"/>
  <c r="I17" i="1"/>
  <c r="J17" i="1"/>
  <c r="I18" i="1"/>
  <c r="J18" i="1"/>
  <c r="I19" i="1"/>
  <c r="J19" i="1"/>
  <c r="I20" i="1"/>
  <c r="J20" i="1"/>
  <c r="I21" i="1"/>
  <c r="J21" i="1"/>
  <c r="I22" i="1"/>
  <c r="J22" i="1"/>
  <c r="I23" i="1"/>
  <c r="J23" i="1"/>
  <c r="I24" i="1"/>
  <c r="J24" i="1"/>
  <c r="I25" i="1"/>
  <c r="J25" i="1"/>
  <c r="I26" i="1"/>
  <c r="J26" i="1"/>
  <c r="I27" i="1"/>
  <c r="J27" i="1"/>
  <c r="I28" i="1"/>
  <c r="J28" i="1"/>
  <c r="I29" i="1"/>
  <c r="J29" i="1"/>
  <c r="I30" i="1"/>
  <c r="J30" i="1"/>
  <c r="I31" i="1"/>
  <c r="J31" i="1"/>
  <c r="I32" i="1"/>
  <c r="J32" i="1"/>
  <c r="I33" i="1"/>
  <c r="J33" i="1"/>
  <c r="I34" i="1"/>
  <c r="J34" i="1"/>
  <c r="I35" i="1"/>
  <c r="J35" i="1"/>
  <c r="I36" i="1"/>
  <c r="J36" i="1"/>
  <c r="I37" i="1"/>
  <c r="J37" i="1"/>
  <c r="I38" i="1"/>
  <c r="J38" i="1"/>
  <c r="I39" i="1"/>
  <c r="J39" i="1"/>
  <c r="I40" i="1"/>
  <c r="J40" i="1"/>
  <c r="I41" i="1"/>
  <c r="J41" i="1"/>
  <c r="I42" i="1"/>
  <c r="J42" i="1"/>
  <c r="I43" i="1"/>
  <c r="J43" i="1"/>
  <c r="I44" i="1"/>
  <c r="J44" i="1"/>
  <c r="I45" i="1"/>
  <c r="J45" i="1"/>
  <c r="I46" i="1"/>
  <c r="J46" i="1"/>
  <c r="I47" i="1"/>
  <c r="J47" i="1"/>
  <c r="I48" i="1"/>
  <c r="J48" i="1"/>
  <c r="I49" i="1"/>
  <c r="J49" i="1"/>
  <c r="I50" i="1"/>
  <c r="J50" i="1"/>
  <c r="I51" i="1"/>
  <c r="J51" i="1"/>
  <c r="I52" i="1"/>
  <c r="J52" i="1"/>
  <c r="I53" i="1"/>
  <c r="J53" i="1"/>
  <c r="I54" i="1"/>
  <c r="J54" i="1"/>
  <c r="I55" i="1"/>
  <c r="J55" i="1"/>
  <c r="I56" i="1"/>
  <c r="J56" i="1"/>
  <c r="I57" i="1"/>
  <c r="J57" i="1"/>
  <c r="I58" i="1"/>
  <c r="J58" i="1"/>
  <c r="I59" i="1"/>
  <c r="J59" i="1"/>
  <c r="I60" i="1"/>
  <c r="J60" i="1"/>
  <c r="I61" i="1"/>
  <c r="J61" i="1"/>
  <c r="I62" i="1"/>
  <c r="J62" i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K70" i="1" s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I109" i="1"/>
  <c r="J109" i="1"/>
  <c r="I110" i="1"/>
  <c r="J110" i="1"/>
  <c r="I111" i="1"/>
  <c r="J111" i="1"/>
  <c r="I112" i="1"/>
  <c r="J112" i="1"/>
  <c r="I113" i="1"/>
  <c r="J113" i="1"/>
  <c r="I114" i="1"/>
  <c r="J114" i="1"/>
  <c r="I115" i="1"/>
  <c r="J115" i="1"/>
  <c r="I116" i="1"/>
  <c r="J116" i="1"/>
  <c r="K116" i="1" s="1"/>
  <c r="I117" i="1"/>
  <c r="J117" i="1"/>
  <c r="I118" i="1"/>
  <c r="J118" i="1"/>
  <c r="I119" i="1"/>
  <c r="J119" i="1"/>
  <c r="I120" i="1"/>
  <c r="J120" i="1"/>
  <c r="I121" i="1"/>
  <c r="J121" i="1"/>
  <c r="I122" i="1"/>
  <c r="J122" i="1"/>
  <c r="I123" i="1"/>
  <c r="J123" i="1"/>
  <c r="I124" i="1"/>
  <c r="J124" i="1"/>
  <c r="I125" i="1"/>
  <c r="J125" i="1"/>
  <c r="I126" i="1"/>
  <c r="J126" i="1"/>
  <c r="I127" i="1"/>
  <c r="J127" i="1"/>
  <c r="I128" i="1"/>
  <c r="J128" i="1"/>
  <c r="I129" i="1"/>
  <c r="J129" i="1"/>
  <c r="I130" i="1"/>
  <c r="J130" i="1"/>
  <c r="I131" i="1"/>
  <c r="J131" i="1"/>
  <c r="I132" i="1"/>
  <c r="J132" i="1"/>
  <c r="K132" i="1" s="1"/>
  <c r="I133" i="1"/>
  <c r="J133" i="1"/>
  <c r="I134" i="1"/>
  <c r="J134" i="1"/>
  <c r="K134" i="1" s="1"/>
  <c r="I135" i="1"/>
  <c r="J135" i="1"/>
  <c r="I136" i="1"/>
  <c r="J136" i="1"/>
  <c r="I137" i="1"/>
  <c r="J137" i="1"/>
  <c r="I138" i="1"/>
  <c r="J138" i="1"/>
  <c r="I139" i="1"/>
  <c r="J139" i="1"/>
  <c r="I140" i="1"/>
  <c r="J140" i="1"/>
  <c r="I141" i="1"/>
  <c r="J141" i="1"/>
  <c r="I142" i="1"/>
  <c r="J142" i="1"/>
  <c r="I143" i="1"/>
  <c r="J143" i="1"/>
  <c r="I144" i="1"/>
  <c r="J144" i="1"/>
  <c r="I145" i="1"/>
  <c r="J145" i="1"/>
  <c r="I146" i="1"/>
  <c r="J146" i="1"/>
  <c r="I147" i="1"/>
  <c r="J147" i="1"/>
  <c r="I148" i="1"/>
  <c r="J148" i="1"/>
  <c r="I149" i="1"/>
  <c r="J149" i="1"/>
  <c r="I150" i="1"/>
  <c r="J150" i="1"/>
  <c r="I151" i="1"/>
  <c r="J151" i="1"/>
  <c r="I152" i="1"/>
  <c r="J152" i="1"/>
  <c r="I153" i="1"/>
  <c r="J153" i="1"/>
  <c r="I154" i="1"/>
  <c r="J154" i="1"/>
  <c r="I155" i="1"/>
  <c r="J155" i="1"/>
  <c r="I156" i="1"/>
  <c r="J156" i="1"/>
  <c r="I157" i="1"/>
  <c r="J157" i="1"/>
  <c r="I158" i="1"/>
  <c r="J158" i="1"/>
  <c r="I159" i="1"/>
  <c r="J159" i="1"/>
  <c r="I160" i="1"/>
  <c r="J160" i="1"/>
  <c r="I161" i="1"/>
  <c r="J161" i="1"/>
  <c r="I162" i="1"/>
  <c r="J162" i="1"/>
  <c r="I163" i="1"/>
  <c r="J163" i="1"/>
  <c r="I164" i="1"/>
  <c r="J164" i="1"/>
  <c r="I165" i="1"/>
  <c r="J165" i="1"/>
  <c r="I166" i="1"/>
  <c r="J166" i="1"/>
  <c r="O7" i="1"/>
  <c r="O12" i="1"/>
  <c r="O17" i="1"/>
  <c r="O22" i="1"/>
  <c r="O27" i="1"/>
  <c r="O32" i="1"/>
  <c r="O37" i="1"/>
  <c r="O42" i="1"/>
  <c r="O47" i="1"/>
  <c r="O52" i="1"/>
  <c r="O57" i="1"/>
  <c r="O62" i="1"/>
  <c r="O67" i="1"/>
  <c r="O72" i="1"/>
  <c r="O77" i="1"/>
  <c r="O82" i="1"/>
  <c r="O87" i="1"/>
  <c r="O92" i="1"/>
  <c r="O97" i="1"/>
  <c r="O102" i="1"/>
  <c r="O107" i="1"/>
  <c r="O112" i="1"/>
  <c r="O117" i="1"/>
  <c r="O122" i="1"/>
  <c r="O127" i="1"/>
  <c r="O132" i="1"/>
  <c r="O137" i="1"/>
  <c r="O142" i="1"/>
  <c r="O147" i="1"/>
  <c r="O152" i="1"/>
  <c r="O157" i="1"/>
  <c r="O162" i="1"/>
  <c r="K119" i="1"/>
  <c r="K131" i="1"/>
  <c r="K19" i="1"/>
  <c r="K23" i="1"/>
  <c r="K39" i="1"/>
  <c r="K51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O2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2" i="1"/>
  <c r="C13" i="1"/>
  <c r="C14" i="1"/>
  <c r="C15" i="1"/>
  <c r="C16" i="1"/>
  <c r="C7" i="1"/>
  <c r="C8" i="1"/>
  <c r="C9" i="1"/>
  <c r="C10" i="1"/>
  <c r="C11" i="1"/>
  <c r="C6" i="1"/>
  <c r="C5" i="1"/>
  <c r="C4" i="1"/>
  <c r="C3" i="1"/>
  <c r="C2" i="1"/>
  <c r="G134" i="1"/>
  <c r="G107" i="1"/>
  <c r="G129" i="1"/>
  <c r="G120" i="1"/>
  <c r="G111" i="1"/>
  <c r="G135" i="1"/>
  <c r="G126" i="1"/>
  <c r="G117" i="1"/>
  <c r="G113" i="1"/>
  <c r="G128" i="1"/>
  <c r="G110" i="1"/>
  <c r="G131" i="1"/>
  <c r="G122" i="1"/>
  <c r="G118" i="1"/>
  <c r="G109" i="1"/>
  <c r="G133" i="1"/>
  <c r="G124" i="1"/>
  <c r="G115" i="1"/>
  <c r="G130" i="1"/>
  <c r="G121" i="1"/>
  <c r="G112" i="1"/>
  <c r="G108" i="1"/>
  <c r="G136" i="1"/>
  <c r="G127" i="1"/>
  <c r="G123" i="1"/>
  <c r="G114" i="1"/>
  <c r="G132" i="1"/>
  <c r="G119" i="1"/>
  <c r="G125" i="1"/>
  <c r="G116" i="1"/>
  <c r="G12" i="1"/>
  <c r="G20" i="1"/>
  <c r="G28" i="1"/>
  <c r="G36" i="1"/>
  <c r="G44" i="1"/>
  <c r="G52" i="1"/>
  <c r="G60" i="1"/>
  <c r="G68" i="1"/>
  <c r="G76" i="1"/>
  <c r="G84" i="1"/>
  <c r="G92" i="1"/>
  <c r="G100" i="1"/>
  <c r="G138" i="1"/>
  <c r="G146" i="1"/>
  <c r="G154" i="1"/>
  <c r="G162" i="1"/>
  <c r="G15" i="1"/>
  <c r="G39" i="1"/>
  <c r="G71" i="1"/>
  <c r="G95" i="1"/>
  <c r="G149" i="1"/>
  <c r="G165" i="1"/>
  <c r="G18" i="1"/>
  <c r="G58" i="1"/>
  <c r="G82" i="1"/>
  <c r="G144" i="1"/>
  <c r="G43" i="1"/>
  <c r="G67" i="1"/>
  <c r="G91" i="1"/>
  <c r="G153" i="1"/>
  <c r="G13" i="1"/>
  <c r="G21" i="1"/>
  <c r="G29" i="1"/>
  <c r="G37" i="1"/>
  <c r="G45" i="1"/>
  <c r="G53" i="1"/>
  <c r="G61" i="1"/>
  <c r="G69" i="1"/>
  <c r="G77" i="1"/>
  <c r="G85" i="1"/>
  <c r="G93" i="1"/>
  <c r="G101" i="1"/>
  <c r="G139" i="1"/>
  <c r="G147" i="1"/>
  <c r="G155" i="1"/>
  <c r="G163" i="1"/>
  <c r="G23" i="1"/>
  <c r="G47" i="1"/>
  <c r="G63" i="1"/>
  <c r="G87" i="1"/>
  <c r="G141" i="1"/>
  <c r="G26" i="1"/>
  <c r="G50" i="1"/>
  <c r="G98" i="1"/>
  <c r="G160" i="1"/>
  <c r="G35" i="1"/>
  <c r="G59" i="1"/>
  <c r="G99" i="1"/>
  <c r="G161" i="1"/>
  <c r="G14" i="1"/>
  <c r="G22" i="1"/>
  <c r="G30" i="1"/>
  <c r="G38" i="1"/>
  <c r="G46" i="1"/>
  <c r="G54" i="1"/>
  <c r="G62" i="1"/>
  <c r="G70" i="1"/>
  <c r="G78" i="1"/>
  <c r="G86" i="1"/>
  <c r="G94" i="1"/>
  <c r="G102" i="1"/>
  <c r="G140" i="1"/>
  <c r="G148" i="1"/>
  <c r="G156" i="1"/>
  <c r="G164" i="1"/>
  <c r="G31" i="1"/>
  <c r="G55" i="1"/>
  <c r="G79" i="1"/>
  <c r="G103" i="1"/>
  <c r="G157" i="1"/>
  <c r="G34" i="1"/>
  <c r="G74" i="1"/>
  <c r="G106" i="1"/>
  <c r="G27" i="1"/>
  <c r="G75" i="1"/>
  <c r="G137" i="1"/>
  <c r="G16" i="1"/>
  <c r="G24" i="1"/>
  <c r="G32" i="1"/>
  <c r="G40" i="1"/>
  <c r="G48" i="1"/>
  <c r="G56" i="1"/>
  <c r="G64" i="1"/>
  <c r="G72" i="1"/>
  <c r="G80" i="1"/>
  <c r="G88" i="1"/>
  <c r="G96" i="1"/>
  <c r="G104" i="1"/>
  <c r="G142" i="1"/>
  <c r="G150" i="1"/>
  <c r="G158" i="1"/>
  <c r="G166" i="1"/>
  <c r="G17" i="1"/>
  <c r="G25" i="1"/>
  <c r="G33" i="1"/>
  <c r="G41" i="1"/>
  <c r="G49" i="1"/>
  <c r="G57" i="1"/>
  <c r="G65" i="1"/>
  <c r="G73" i="1"/>
  <c r="G81" i="1"/>
  <c r="G89" i="1"/>
  <c r="G97" i="1"/>
  <c r="G105" i="1"/>
  <c r="G143" i="1"/>
  <c r="G151" i="1"/>
  <c r="G159" i="1"/>
  <c r="G42" i="1"/>
  <c r="G66" i="1"/>
  <c r="G90" i="1"/>
  <c r="G152" i="1"/>
  <c r="G19" i="1"/>
  <c r="G51" i="1"/>
  <c r="G83" i="1"/>
  <c r="G145" i="1"/>
  <c r="G7" i="1"/>
  <c r="G8" i="1"/>
  <c r="G9" i="1"/>
  <c r="G10" i="1"/>
  <c r="G11" i="1"/>
  <c r="G6" i="1"/>
  <c r="G5" i="1"/>
  <c r="G4" i="1"/>
  <c r="G3" i="1"/>
  <c r="G2" i="1"/>
  <c r="K166" i="1" l="1"/>
  <c r="K164" i="1"/>
  <c r="K163" i="1"/>
  <c r="K159" i="1"/>
  <c r="K158" i="1"/>
  <c r="K156" i="1"/>
  <c r="K155" i="1"/>
  <c r="K150" i="1"/>
  <c r="K148" i="1"/>
  <c r="K147" i="1"/>
  <c r="K151" i="1"/>
  <c r="K143" i="1"/>
  <c r="K142" i="1"/>
  <c r="K140" i="1"/>
  <c r="K139" i="1"/>
  <c r="K135" i="1"/>
  <c r="K127" i="1"/>
  <c r="K123" i="1"/>
  <c r="K126" i="1"/>
  <c r="K124" i="1"/>
  <c r="K118" i="1"/>
  <c r="K115" i="1"/>
  <c r="K110" i="1"/>
  <c r="K111" i="1"/>
  <c r="K108" i="1"/>
  <c r="K107" i="1"/>
  <c r="K103" i="1"/>
  <c r="K102" i="1"/>
  <c r="K100" i="1"/>
  <c r="K99" i="1"/>
  <c r="K95" i="1"/>
  <c r="K94" i="1"/>
  <c r="K92" i="1"/>
  <c r="K165" i="1"/>
  <c r="K161" i="1"/>
  <c r="K157" i="1"/>
  <c r="K153" i="1"/>
  <c r="K149" i="1"/>
  <c r="K145" i="1"/>
  <c r="K141" i="1"/>
  <c r="K137" i="1"/>
  <c r="K133" i="1"/>
  <c r="K129" i="1"/>
  <c r="K125" i="1"/>
  <c r="K121" i="1"/>
  <c r="K117" i="1"/>
  <c r="K113" i="1"/>
  <c r="K109" i="1"/>
  <c r="K105" i="1"/>
  <c r="K101" i="1"/>
  <c r="K97" i="1"/>
  <c r="K93" i="1"/>
  <c r="K37" i="1"/>
  <c r="K29" i="1"/>
  <c r="K91" i="1"/>
  <c r="K89" i="1"/>
  <c r="K87" i="1"/>
  <c r="K160" i="1"/>
  <c r="K152" i="1"/>
  <c r="K144" i="1"/>
  <c r="K136" i="1"/>
  <c r="K128" i="1"/>
  <c r="K120" i="1"/>
  <c r="K112" i="1"/>
  <c r="K104" i="1"/>
  <c r="K96" i="1"/>
  <c r="K88" i="1"/>
  <c r="K64" i="1"/>
  <c r="K46" i="1"/>
  <c r="K35" i="1"/>
  <c r="K162" i="1"/>
  <c r="K154" i="1"/>
  <c r="K146" i="1"/>
  <c r="K138" i="1"/>
  <c r="K130" i="1"/>
  <c r="K122" i="1"/>
  <c r="L122" i="1" s="1"/>
  <c r="K114" i="1"/>
  <c r="K106" i="1"/>
  <c r="K98" i="1"/>
  <c r="K90" i="1"/>
  <c r="K86" i="1"/>
  <c r="K85" i="1"/>
  <c r="K84" i="1"/>
  <c r="K83" i="1"/>
  <c r="K82" i="1"/>
  <c r="K81" i="1"/>
  <c r="K80" i="1"/>
  <c r="K79" i="1"/>
  <c r="K78" i="1"/>
  <c r="K77" i="1"/>
  <c r="K72" i="1"/>
  <c r="K73" i="1"/>
  <c r="K74" i="1"/>
  <c r="K75" i="1"/>
  <c r="K76" i="1"/>
  <c r="K71" i="1"/>
  <c r="K69" i="1"/>
  <c r="K68" i="1"/>
  <c r="K67" i="1"/>
  <c r="K66" i="1"/>
  <c r="K65" i="1"/>
  <c r="K63" i="1"/>
  <c r="K62" i="1"/>
  <c r="K61" i="1"/>
  <c r="K60" i="1"/>
  <c r="K59" i="1"/>
  <c r="K58" i="1"/>
  <c r="K57" i="1"/>
  <c r="K56" i="1"/>
  <c r="K55" i="1"/>
  <c r="K54" i="1"/>
  <c r="K53" i="1"/>
  <c r="K52" i="1"/>
  <c r="K48" i="1"/>
  <c r="K49" i="1"/>
  <c r="K50" i="1"/>
  <c r="K47" i="1"/>
  <c r="K45" i="1"/>
  <c r="K44" i="1"/>
  <c r="K43" i="1"/>
  <c r="K42" i="1"/>
  <c r="K41" i="1"/>
  <c r="K40" i="1"/>
  <c r="K38" i="1"/>
  <c r="K36" i="1"/>
  <c r="K34" i="1"/>
  <c r="K33" i="1"/>
  <c r="K32" i="1"/>
  <c r="K31" i="1"/>
  <c r="K30" i="1"/>
  <c r="K28" i="1"/>
  <c r="K27" i="1"/>
  <c r="K26" i="1"/>
  <c r="K25" i="1"/>
  <c r="K24" i="1"/>
  <c r="K22" i="1"/>
  <c r="K21" i="1"/>
  <c r="K20" i="1"/>
  <c r="K16" i="1"/>
  <c r="K13" i="1"/>
  <c r="K12" i="1"/>
  <c r="K11" i="1"/>
  <c r="K9" i="1"/>
  <c r="K8" i="1"/>
  <c r="K6" i="1"/>
  <c r="K5" i="1"/>
  <c r="K3" i="1"/>
  <c r="K18" i="1"/>
  <c r="K10" i="1"/>
  <c r="K15" i="1"/>
  <c r="K17" i="1"/>
  <c r="K14" i="1"/>
  <c r="K4" i="1"/>
  <c r="K2" i="1"/>
  <c r="H132" i="1"/>
  <c r="H127" i="1"/>
  <c r="H112" i="1"/>
  <c r="H122" i="1"/>
  <c r="H117" i="1"/>
  <c r="H107" i="1"/>
  <c r="O168" i="1"/>
  <c r="G168" i="1"/>
  <c r="H152" i="1"/>
  <c r="H42" i="1"/>
  <c r="H97" i="1"/>
  <c r="H57" i="1"/>
  <c r="H17" i="1"/>
  <c r="H142" i="1"/>
  <c r="H72" i="1"/>
  <c r="H32" i="1"/>
  <c r="H137" i="1"/>
  <c r="H27" i="1"/>
  <c r="H157" i="1"/>
  <c r="H102" i="1"/>
  <c r="H62" i="1"/>
  <c r="H22" i="1"/>
  <c r="H87" i="1"/>
  <c r="H47" i="1"/>
  <c r="H147" i="1"/>
  <c r="H77" i="1"/>
  <c r="H37" i="1"/>
  <c r="H67" i="1"/>
  <c r="H82" i="1"/>
  <c r="H162" i="1"/>
  <c r="H92" i="1"/>
  <c r="H52" i="1"/>
  <c r="H12" i="1"/>
  <c r="H7" i="1"/>
  <c r="H2" i="1"/>
  <c r="K168" i="1" l="1"/>
  <c r="L162" i="1"/>
  <c r="L157" i="1"/>
  <c r="L147" i="1"/>
  <c r="L132" i="1"/>
  <c r="L127" i="1"/>
  <c r="L117" i="1"/>
  <c r="L112" i="1"/>
  <c r="L107" i="1"/>
  <c r="L97" i="1"/>
  <c r="L142" i="1"/>
  <c r="L102" i="1"/>
  <c r="L137" i="1"/>
  <c r="L152" i="1"/>
  <c r="L92" i="1"/>
  <c r="L87" i="1"/>
  <c r="L82" i="1"/>
  <c r="L77" i="1"/>
  <c r="L72" i="1"/>
  <c r="L67" i="1"/>
  <c r="L62" i="1"/>
  <c r="L57" i="1"/>
  <c r="L52" i="1"/>
  <c r="L47" i="1"/>
  <c r="L42" i="1"/>
  <c r="L37" i="1"/>
  <c r="L32" i="1"/>
  <c r="L27" i="1"/>
  <c r="L22" i="1"/>
  <c r="L17" i="1"/>
  <c r="L7" i="1"/>
  <c r="L12" i="1"/>
  <c r="L2" i="1"/>
</calcChain>
</file>

<file path=xl/sharedStrings.xml><?xml version="1.0" encoding="utf-8"?>
<sst xmlns="http://schemas.openxmlformats.org/spreadsheetml/2006/main" count="788" uniqueCount="472">
  <si>
    <t>Accuracy of Transcription</t>
  </si>
  <si>
    <t>Spoken Phrase</t>
  </si>
  <si>
    <t>Heard Phrase</t>
  </si>
  <si>
    <t>Expected outcome</t>
  </si>
  <si>
    <t>ID</t>
  </si>
  <si>
    <t>Hello</t>
  </si>
  <si>
    <t>What time is it</t>
  </si>
  <si>
    <t>Phrase ID</t>
  </si>
  <si>
    <t>Test ID</t>
  </si>
  <si>
    <t>Put some music on</t>
  </si>
  <si>
    <t>Play the radio</t>
  </si>
  <si>
    <t>I want the radio on</t>
  </si>
  <si>
    <t>Average Accuracy</t>
  </si>
  <si>
    <t>Respond "hello"</t>
  </si>
  <si>
    <t>Change the station</t>
  </si>
  <si>
    <t>Put a different station on</t>
  </si>
  <si>
    <t>Change the radio station</t>
  </si>
  <si>
    <t>Stop the music</t>
  </si>
  <si>
    <t>Outcome success</t>
  </si>
  <si>
    <t>Yes</t>
  </si>
  <si>
    <t>No</t>
  </si>
  <si>
    <t>Outcome Accuracy</t>
  </si>
  <si>
    <t>HELLO</t>
  </si>
  <si>
    <t>Prerequisites</t>
  </si>
  <si>
    <t>VA is active</t>
  </si>
  <si>
    <t>Radio is playing</t>
  </si>
  <si>
    <t>Notes</t>
  </si>
  <si>
    <t>What is the time</t>
  </si>
  <si>
    <t>What day is it</t>
  </si>
  <si>
    <t>Who are you</t>
  </si>
  <si>
    <t>What is your name</t>
  </si>
  <si>
    <t>What can you do</t>
  </si>
  <si>
    <t>Put the volume up</t>
  </si>
  <si>
    <t>Lower the volume</t>
  </si>
  <si>
    <t>Turn off the radio</t>
  </si>
  <si>
    <t>What are the rules</t>
  </si>
  <si>
    <t>Higher</t>
  </si>
  <si>
    <t>Lower</t>
  </si>
  <si>
    <t>The same</t>
  </si>
  <si>
    <t>Stop playing</t>
  </si>
  <si>
    <t>Talk faster</t>
  </si>
  <si>
    <t>Talk slower</t>
  </si>
  <si>
    <t>Turn off</t>
  </si>
  <si>
    <t>Shut down</t>
  </si>
  <si>
    <t>Game has started</t>
  </si>
  <si>
    <t>Speak the day of the week</t>
  </si>
  <si>
    <t>Introduce self</t>
  </si>
  <si>
    <t>List functionality</t>
  </si>
  <si>
    <t>Turn the radio volume up</t>
  </si>
  <si>
    <t>Turn the radio volume down</t>
  </si>
  <si>
    <t>Stop the radio</t>
  </si>
  <si>
    <t>Explain the number game rules</t>
  </si>
  <si>
    <t>Accept "higher" as answer for question</t>
  </si>
  <si>
    <t>Don't do that</t>
  </si>
  <si>
    <t>Nah</t>
  </si>
  <si>
    <t>Okay</t>
  </si>
  <si>
    <t>Sure</t>
  </si>
  <si>
    <t>User has been asked to confirm an action</t>
  </si>
  <si>
    <t>Accept "lower" as answer for question</t>
  </si>
  <si>
    <t>Accept "the same" as answer for question</t>
  </si>
  <si>
    <t>Stop the game</t>
  </si>
  <si>
    <t>Increase VA talking speed</t>
  </si>
  <si>
    <t>Decrease VA talking speed</t>
  </si>
  <si>
    <t>Action is confirmed</t>
  </si>
  <si>
    <t>Action is denied</t>
  </si>
  <si>
    <t>VA receives command to shut down</t>
  </si>
  <si>
    <t>VA receives command to play the number game</t>
  </si>
  <si>
    <t>VA receives command to play the radio</t>
  </si>
  <si>
    <t>Respond with current system time</t>
  </si>
  <si>
    <t>Response given</t>
  </si>
  <si>
    <t>Phrase detected</t>
  </si>
  <si>
    <t>13:50:25,182</t>
  </si>
  <si>
    <t>13:50:29,032</t>
  </si>
  <si>
    <t>13:50:33,817</t>
  </si>
  <si>
    <t>13:50:36,790</t>
  </si>
  <si>
    <t>13:50:40,866</t>
  </si>
  <si>
    <t>13:50:43,773</t>
  </si>
  <si>
    <t>13:50:47,753</t>
  </si>
  <si>
    <t>13:50:50,714</t>
  </si>
  <si>
    <t>13:50:57,497</t>
  </si>
  <si>
    <t>13:51:00,239</t>
  </si>
  <si>
    <t>13:53:52,320</t>
  </si>
  <si>
    <t>13:54:01,251</t>
  </si>
  <si>
    <t>13:54:06,382</t>
  </si>
  <si>
    <t>13:54:10,407</t>
  </si>
  <si>
    <t>13:54:15,439</t>
  </si>
  <si>
    <t>13:54:19,090</t>
  </si>
  <si>
    <t>13:54:23,381</t>
  </si>
  <si>
    <t>13:54:27,320</t>
  </si>
  <si>
    <t>13:54:31,349</t>
  </si>
  <si>
    <t>13:54:35,711</t>
  </si>
  <si>
    <t>WHAT TIME IS IT</t>
  </si>
  <si>
    <t>WHAT IS THE TIME</t>
  </si>
  <si>
    <t>BOYS THE TIME</t>
  </si>
  <si>
    <t>13:57:00,041</t>
  </si>
  <si>
    <t>13:57:04,758</t>
  </si>
  <si>
    <t>13:57:08,915</t>
  </si>
  <si>
    <t>13:57:14,246</t>
  </si>
  <si>
    <t>13:57:18,632</t>
  </si>
  <si>
    <t>13:57:22,159</t>
  </si>
  <si>
    <t>13:57:26,001</t>
  </si>
  <si>
    <t>13:57:30,982</t>
  </si>
  <si>
    <t>13:57:35,023</t>
  </si>
  <si>
    <t>13:57:38,779</t>
  </si>
  <si>
    <t>WHAT DAY IS IT</t>
  </si>
  <si>
    <t>13:59:42,356</t>
  </si>
  <si>
    <t>13:59:46,729</t>
  </si>
  <si>
    <t>13:59:50,613</t>
  </si>
  <si>
    <t>13:59:55,028</t>
  </si>
  <si>
    <t>13:59:57,759</t>
  </si>
  <si>
    <t>14:00:02,231</t>
  </si>
  <si>
    <t>14:00:04,692</t>
  </si>
  <si>
    <t>14:00:08,042</t>
  </si>
  <si>
    <t>14:00:10,771</t>
  </si>
  <si>
    <t>14:00:14,304</t>
  </si>
  <si>
    <t>WHO ARE YOU</t>
  </si>
  <si>
    <t>HOW ARE YOU</t>
  </si>
  <si>
    <t>WHERE ARE YOU</t>
  </si>
  <si>
    <t>YES</t>
  </si>
  <si>
    <t>14:02:17,000</t>
  </si>
  <si>
    <t>14:02:20,602</t>
  </si>
  <si>
    <t>14:02:23,669</t>
  </si>
  <si>
    <t>14:02:26,415</t>
  </si>
  <si>
    <t>14:02:34,973</t>
  </si>
  <si>
    <t>14:02:40,262</t>
  </si>
  <si>
    <t>14:02:37,402</t>
  </si>
  <si>
    <t>14:02:32,086</t>
  </si>
  <si>
    <t>14:02:43,049</t>
  </si>
  <si>
    <t>14:02:45,733</t>
  </si>
  <si>
    <t>Time to process (TTP) [seconds]</t>
  </si>
  <si>
    <t>Average TTP [seconds]</t>
  </si>
  <si>
    <t>WHAT IS YOUR NAME</t>
  </si>
  <si>
    <t>14:07:10,075</t>
  </si>
  <si>
    <t>14:07:14,012</t>
  </si>
  <si>
    <t>14:07:17,133</t>
  </si>
  <si>
    <t>14:07:20,379</t>
  </si>
  <si>
    <t>14:07:22,918</t>
  </si>
  <si>
    <t>14:07:26,133</t>
  </si>
  <si>
    <t>14:07:28,612</t>
  </si>
  <si>
    <t>14:07:31,791</t>
  </si>
  <si>
    <t>14:07:34,420</t>
  </si>
  <si>
    <t>14:07:37,485</t>
  </si>
  <si>
    <t>WHAT CAN YOU DO</t>
  </si>
  <si>
    <t>BUT CAN YOU DO</t>
  </si>
  <si>
    <t>14:09:41,891</t>
  </si>
  <si>
    <t>14:09:46,063</t>
  </si>
  <si>
    <t>14:09:55,382</t>
  </si>
  <si>
    <t>14:09:59,309</t>
  </si>
  <si>
    <t>14:10:08,422</t>
  </si>
  <si>
    <t>14:10:11,924</t>
  </si>
  <si>
    <t>14:10:21,326</t>
  </si>
  <si>
    <t>14:10:24,513</t>
  </si>
  <si>
    <t>14:10:35,166</t>
  </si>
  <si>
    <t>14:10:38,840</t>
  </si>
  <si>
    <t>14:12:54,348</t>
  </si>
  <si>
    <t>PUT SOME MUSIC ON</t>
  </si>
  <si>
    <t>14:12:58,867</t>
  </si>
  <si>
    <t>14:13:12,061</t>
  </si>
  <si>
    <t>BUT SOME MUSIC ON</t>
  </si>
  <si>
    <t>14:13:15,589</t>
  </si>
  <si>
    <t>14:13:26,961</t>
  </si>
  <si>
    <t>14:13:30,570</t>
  </si>
  <si>
    <t>THAT SOME MUSIC ON</t>
  </si>
  <si>
    <t>14:13:43,221</t>
  </si>
  <si>
    <t>14:13:46,734</t>
  </si>
  <si>
    <t>14:14:05,396</t>
  </si>
  <si>
    <t>14:14:11,139</t>
  </si>
  <si>
    <t>14:17:07,986</t>
  </si>
  <si>
    <t>14:17:11,474</t>
  </si>
  <si>
    <t>14:17:23,013</t>
  </si>
  <si>
    <t>14:17:26,227</t>
  </si>
  <si>
    <t>14:17:36,717</t>
  </si>
  <si>
    <t>14:17:40,522</t>
  </si>
  <si>
    <t>14:17:52,697</t>
  </si>
  <si>
    <t>14:17:56,525</t>
  </si>
  <si>
    <t>14:18:15,809</t>
  </si>
  <si>
    <t>14:18:21,949</t>
  </si>
  <si>
    <t>PLAY THE RADIO</t>
  </si>
  <si>
    <t>LAY THE RADIO</t>
  </si>
  <si>
    <t>14:20:58,625</t>
  </si>
  <si>
    <t>14:21:03,267</t>
  </si>
  <si>
    <t>14:22:07,444</t>
  </si>
  <si>
    <t>14:22:03,770</t>
  </si>
  <si>
    <t>14:21:52,173</t>
  </si>
  <si>
    <t>14:21:48,434</t>
  </si>
  <si>
    <t>14:21:36,652</t>
  </si>
  <si>
    <t>14:21:32,277</t>
  </si>
  <si>
    <t>14:21:19,171</t>
  </si>
  <si>
    <t>14:21:15,122</t>
  </si>
  <si>
    <t>I WANT THE RADIO ON</t>
  </si>
  <si>
    <t>14:25:01,295</t>
  </si>
  <si>
    <t>14:25:04,937</t>
  </si>
  <si>
    <t>14:25:18,058</t>
  </si>
  <si>
    <t>14:25:21,880</t>
  </si>
  <si>
    <t>14:25:37,216</t>
  </si>
  <si>
    <t>14:25:40,664</t>
  </si>
  <si>
    <t>14:25:53,212</t>
  </si>
  <si>
    <t>14:25:56,560</t>
  </si>
  <si>
    <t>14:26:12,370</t>
  </si>
  <si>
    <t>14:26:15,548</t>
  </si>
  <si>
    <t>JANE THE STATION</t>
  </si>
  <si>
    <t>CHANGE THE STATION</t>
  </si>
  <si>
    <t>CAN TESTATION</t>
  </si>
  <si>
    <t>14:28:57,744</t>
  </si>
  <si>
    <t>14:29:02,141</t>
  </si>
  <si>
    <t>14:29:10,882</t>
  </si>
  <si>
    <t>14:29:15,384</t>
  </si>
  <si>
    <t>14:29:25,213</t>
  </si>
  <si>
    <t>14:29:29,970</t>
  </si>
  <si>
    <t>14:29:38,120</t>
  </si>
  <si>
    <t>14:29:43,025</t>
  </si>
  <si>
    <t>14:29:50,615</t>
  </si>
  <si>
    <t>14:29:55,633</t>
  </si>
  <si>
    <t>BUT A DIFFERENT STATION ON</t>
  </si>
  <si>
    <t>CARTERET STATION ON</t>
  </si>
  <si>
    <t>TO A DIFFERENT STATION ON</t>
  </si>
  <si>
    <t>PORTENDUERE STATION ON</t>
  </si>
  <si>
    <t>THERE DIFFERENT STATION ON</t>
  </si>
  <si>
    <t>14:32:52,424</t>
  </si>
  <si>
    <t>14:32:56,123</t>
  </si>
  <si>
    <t>14:33:02,594</t>
  </si>
  <si>
    <t>14:33:05,875</t>
  </si>
  <si>
    <t>14:33:10,791</t>
  </si>
  <si>
    <t>14:33:14,118</t>
  </si>
  <si>
    <t>14:33:19,056</t>
  </si>
  <si>
    <t>14:33:22,706</t>
  </si>
  <si>
    <t>14:33:28,514</t>
  </si>
  <si>
    <t>14:33:33,021</t>
  </si>
  <si>
    <t>NO</t>
  </si>
  <si>
    <t>BUT THE VOLUME AT</t>
  </si>
  <si>
    <t>BUT THE VOLUME UP</t>
  </si>
  <si>
    <t>BUT THE VALET</t>
  </si>
  <si>
    <t>14:37:00,659</t>
  </si>
  <si>
    <t>14:37:09,062</t>
  </si>
  <si>
    <t>14:37:03,944</t>
  </si>
  <si>
    <t>14:37:13,327</t>
  </si>
  <si>
    <t>14:37:17,281</t>
  </si>
  <si>
    <t>14:37:21,230</t>
  </si>
  <si>
    <t>14:38:22,511</t>
  </si>
  <si>
    <t>14:38:26,299</t>
  </si>
  <si>
    <t>14:37:31,525</t>
  </si>
  <si>
    <t>14:37:28,164</t>
  </si>
  <si>
    <t>HERE THE VALLEY</t>
  </si>
  <si>
    <t>THE LOWER THE VOLUME</t>
  </si>
  <si>
    <t>LOWER THE VOLUME</t>
  </si>
  <si>
    <t>14:46:56,301</t>
  </si>
  <si>
    <t>14:46:52,060</t>
  </si>
  <si>
    <t>STOPPED THE MUSIC</t>
  </si>
  <si>
    <t>14:44:55,168</t>
  </si>
  <si>
    <t>14:44:50,852</t>
  </si>
  <si>
    <t>STOP THE MUSIC</t>
  </si>
  <si>
    <t>14:44:24,895</t>
  </si>
  <si>
    <t>14:44:21,319</t>
  </si>
  <si>
    <t>14:43:53,418</t>
  </si>
  <si>
    <t>14:43:49,745</t>
  </si>
  <si>
    <t>14:42:27,175</t>
  </si>
  <si>
    <t>14:42:23,594</t>
  </si>
  <si>
    <t>14:52:15,717</t>
  </si>
  <si>
    <t>14:52:19,598</t>
  </si>
  <si>
    <t>TURN OFF THE RADIO</t>
  </si>
  <si>
    <t>14:52:42,652</t>
  </si>
  <si>
    <t>14:52:47,173</t>
  </si>
  <si>
    <t>14:53:11,448</t>
  </si>
  <si>
    <t>14:53:15,825</t>
  </si>
  <si>
    <t>14:53:41,025</t>
  </si>
  <si>
    <t>14:53:44,639</t>
  </si>
  <si>
    <t>THEN OTHER RADIO</t>
  </si>
  <si>
    <t>14:57:27,197</t>
  </si>
  <si>
    <t>14:57:23,368</t>
  </si>
  <si>
    <t>14:58:48,657</t>
  </si>
  <si>
    <t>14:58:52,694</t>
  </si>
  <si>
    <t>14:59:01,766</t>
  </si>
  <si>
    <t>14:59:06,031</t>
  </si>
  <si>
    <t>14:59:10,420</t>
  </si>
  <si>
    <t>14:59:14,415</t>
  </si>
  <si>
    <t>14:59:18,850</t>
  </si>
  <si>
    <t>14:59:23,097</t>
  </si>
  <si>
    <t>14:58:39,898</t>
  </si>
  <si>
    <t>14:58:43,741</t>
  </si>
  <si>
    <t>FLAY THE NUMBER GAME</t>
  </si>
  <si>
    <t>PLAY THE NUMBER GAME</t>
  </si>
  <si>
    <t>PLAYS A NUMBER GAME</t>
  </si>
  <si>
    <t>Play the number game</t>
  </si>
  <si>
    <t>LET'S PLAY A GAME</t>
  </si>
  <si>
    <t>Let's play a game</t>
  </si>
  <si>
    <t>15:03:13,140</t>
  </si>
  <si>
    <t>15:03:16,906</t>
  </si>
  <si>
    <t>15:03:21,429</t>
  </si>
  <si>
    <t>15:03:25,378</t>
  </si>
  <si>
    <t>15:03:30,727</t>
  </si>
  <si>
    <t>15:03:34,573</t>
  </si>
  <si>
    <t>15:03:39,324</t>
  </si>
  <si>
    <t>15:03:44,925</t>
  </si>
  <si>
    <t>15:03:05,345</t>
  </si>
  <si>
    <t>15:03:08,784</t>
  </si>
  <si>
    <t>15:15:58,293</t>
  </si>
  <si>
    <t>15:16:02,057</t>
  </si>
  <si>
    <t>15:16:51,669</t>
  </si>
  <si>
    <t>15:16:55,548</t>
  </si>
  <si>
    <t>15:17:31,812</t>
  </si>
  <si>
    <t>15:17:35,372</t>
  </si>
  <si>
    <t>15:17:59,381</t>
  </si>
  <si>
    <t>15:18:03,758</t>
  </si>
  <si>
    <t>15:18:27,948</t>
  </si>
  <si>
    <t>15:18:32,070</t>
  </si>
  <si>
    <t>WHAT ARE THE RULES</t>
  </si>
  <si>
    <t>15:20:10,907</t>
  </si>
  <si>
    <t>15:20:14,350</t>
  </si>
  <si>
    <t>15:20:24,169</t>
  </si>
  <si>
    <t>15:20:27,743</t>
  </si>
  <si>
    <t>15:20:44,029</t>
  </si>
  <si>
    <t>15:20:47,611</t>
  </si>
  <si>
    <t>15:20:56,768</t>
  </si>
  <si>
    <t>15:21:00,468</t>
  </si>
  <si>
    <t>15:21:16,630</t>
  </si>
  <si>
    <t>15:21:20,294</t>
  </si>
  <si>
    <t>HIGHER</t>
  </si>
  <si>
    <t>15:21:29,464</t>
  </si>
  <si>
    <t>15:21:32,994</t>
  </si>
  <si>
    <t>15:21:42,458</t>
  </si>
  <si>
    <t>LOWER</t>
  </si>
  <si>
    <t>15:21:44,917</t>
  </si>
  <si>
    <t>15:21:49,254</t>
  </si>
  <si>
    <t>15:21:52,990</t>
  </si>
  <si>
    <t>15:22:20,638</t>
  </si>
  <si>
    <t>15:22:33,793</t>
  </si>
  <si>
    <t>15:22:37,353</t>
  </si>
  <si>
    <t>15:22:24,370</t>
  </si>
  <si>
    <t>15:33:02,511</t>
  </si>
  <si>
    <t>15:33:06,135</t>
  </si>
  <si>
    <t>15:33:22,610</t>
  </si>
  <si>
    <t>15:33:26,675</t>
  </si>
  <si>
    <t>15:33:43,069</t>
  </si>
  <si>
    <t>15:33:47,663</t>
  </si>
  <si>
    <t>15:34:30,657</t>
  </si>
  <si>
    <t>15:34:26,319</t>
  </si>
  <si>
    <t>15:34:09,400</t>
  </si>
  <si>
    <t>15:34:04,791</t>
  </si>
  <si>
    <t>THE SAME</t>
  </si>
  <si>
    <t>Asked for a repeat</t>
  </si>
  <si>
    <t>15:36:16,348</t>
  </si>
  <si>
    <t>15:36:19,396</t>
  </si>
  <si>
    <t>STOP PLAYING</t>
  </si>
  <si>
    <t>15:37:00,052</t>
  </si>
  <si>
    <t>15:37:03,690</t>
  </si>
  <si>
    <t>15:37:41,833</t>
  </si>
  <si>
    <t>15:37:45,719</t>
  </si>
  <si>
    <t>15:38:21,466</t>
  </si>
  <si>
    <t>15:38:25,204</t>
  </si>
  <si>
    <t>15:39:16,647</t>
  </si>
  <si>
    <t>15:39:20,274</t>
  </si>
  <si>
    <t>TALK FASTER</t>
  </si>
  <si>
    <t>15:40:17,240</t>
  </si>
  <si>
    <t>15:40:20,410</t>
  </si>
  <si>
    <t>15:40:23,634</t>
  </si>
  <si>
    <t>15:40:26,872</t>
  </si>
  <si>
    <t>15:40:29,764</t>
  </si>
  <si>
    <t>15:40:32,928</t>
  </si>
  <si>
    <t>15:40:35,481</t>
  </si>
  <si>
    <t>15:40:38,777</t>
  </si>
  <si>
    <t>15:40:41,037</t>
  </si>
  <si>
    <t>15:40:45,298</t>
  </si>
  <si>
    <t>TAKE ALL OUR</t>
  </si>
  <si>
    <t>TAKE OUR</t>
  </si>
  <si>
    <t>TO LOWER</t>
  </si>
  <si>
    <t>TALK LOWER</t>
  </si>
  <si>
    <t>15:42:46,307</t>
  </si>
  <si>
    <t>15:42:56,477</t>
  </si>
  <si>
    <t>15:43:03,732</t>
  </si>
  <si>
    <t>15:43:10,780</t>
  </si>
  <si>
    <t>15:43:18,437</t>
  </si>
  <si>
    <t>15:43:21,899</t>
  </si>
  <si>
    <t>15:43:14,282</t>
  </si>
  <si>
    <t>15:43:07,190</t>
  </si>
  <si>
    <t>15:42:59,875</t>
  </si>
  <si>
    <t>15:42:49,678</t>
  </si>
  <si>
    <t>15:49:22,902</t>
  </si>
  <si>
    <t>15:49:25,212</t>
  </si>
  <si>
    <t>15:49:42,032</t>
  </si>
  <si>
    <t>15:49:44,374</t>
  </si>
  <si>
    <t>15:50:00,145</t>
  </si>
  <si>
    <t>15:50:02,658</t>
  </si>
  <si>
    <t>15:50:17,961</t>
  </si>
  <si>
    <t>15:50:20,609</t>
  </si>
  <si>
    <t>15:50:23,287</t>
  </si>
  <si>
    <t>15:50:25,765</t>
  </si>
  <si>
    <t>THE</t>
  </si>
  <si>
    <t>15:54:26,609</t>
  </si>
  <si>
    <t>15:54:29,103</t>
  </si>
  <si>
    <t>OKAY</t>
  </si>
  <si>
    <t>15:55:05,974</t>
  </si>
  <si>
    <t>15:55:08,586</t>
  </si>
  <si>
    <t>15:55:42,085</t>
  </si>
  <si>
    <t>15:55:44,652</t>
  </si>
  <si>
    <t>15:56:07,291</t>
  </si>
  <si>
    <t>15:56:10,883</t>
  </si>
  <si>
    <t>15:57:21,324</t>
  </si>
  <si>
    <t>15:57:23,958</t>
  </si>
  <si>
    <t>15:58:25,960</t>
  </si>
  <si>
    <t>15:58:28,703</t>
  </si>
  <si>
    <t>15:58:31,464</t>
  </si>
  <si>
    <t>15:58:33,889</t>
  </si>
  <si>
    <t>15:58:36,308</t>
  </si>
  <si>
    <t>15:58:38,706</t>
  </si>
  <si>
    <t>15:58:40,579</t>
  </si>
  <si>
    <t>15:58:43,050</t>
  </si>
  <si>
    <t>15:58:44,734</t>
  </si>
  <si>
    <t>15:58:47,344</t>
  </si>
  <si>
    <t>SHE</t>
  </si>
  <si>
    <t>SHOW</t>
  </si>
  <si>
    <t>SO</t>
  </si>
  <si>
    <t>SURE</t>
  </si>
  <si>
    <t>NOW</t>
  </si>
  <si>
    <t>16:09:49,962</t>
  </si>
  <si>
    <t>16:09:52,229</t>
  </si>
  <si>
    <t>16:09:58,716</t>
  </si>
  <si>
    <t>16:10:00,920</t>
  </si>
  <si>
    <t>16:10:12,815</t>
  </si>
  <si>
    <t>16:10:15,167</t>
  </si>
  <si>
    <t>16:10:28,041</t>
  </si>
  <si>
    <t>16:10:30,613</t>
  </si>
  <si>
    <t>16:10:37,682</t>
  </si>
  <si>
    <t>16:10:40,025</t>
  </si>
  <si>
    <t>NOT</t>
  </si>
  <si>
    <t>16:15:04,079</t>
  </si>
  <si>
    <t>16:15:01,414</t>
  </si>
  <si>
    <t>THAT</t>
  </si>
  <si>
    <t>16:13:22,837</t>
  </si>
  <si>
    <t>16:13:25,064</t>
  </si>
  <si>
    <t>16:13:53,193</t>
  </si>
  <si>
    <t>16:13:55,566</t>
  </si>
  <si>
    <t>16:14:15,685</t>
  </si>
  <si>
    <t>16:14:18,259</t>
  </si>
  <si>
    <t>16:14:42,351</t>
  </si>
  <si>
    <t>16:14:44,900</t>
  </si>
  <si>
    <t>DON'T DO THAT</t>
  </si>
  <si>
    <t>16:18:11,713</t>
  </si>
  <si>
    <t>16:18:14,644</t>
  </si>
  <si>
    <t>16:18:22,986</t>
  </si>
  <si>
    <t>16:18:26,340</t>
  </si>
  <si>
    <t>16:18:40,900</t>
  </si>
  <si>
    <t>16:18:43,998</t>
  </si>
  <si>
    <t>16:18:51,599</t>
  </si>
  <si>
    <t>16:18:54,679</t>
  </si>
  <si>
    <t>16:19:01,586</t>
  </si>
  <si>
    <t>16:19:04,788</t>
  </si>
  <si>
    <t>16:21:15,455</t>
  </si>
  <si>
    <t>16:21:18,362</t>
  </si>
  <si>
    <t>16:21:20,496</t>
  </si>
  <si>
    <t>TURN OFF</t>
  </si>
  <si>
    <t>SHUT DOWN</t>
  </si>
  <si>
    <t>SO DOWN</t>
  </si>
  <si>
    <t>SHOT DOWN</t>
  </si>
  <si>
    <t>16:21:23,220</t>
  </si>
  <si>
    <t>16:21:25,202</t>
  </si>
  <si>
    <t>16:21:27,948</t>
  </si>
  <si>
    <t>16:21:32,722</t>
  </si>
  <si>
    <t>16:21:29,955</t>
  </si>
  <si>
    <t>16:21:34,730</t>
  </si>
  <si>
    <t>16:21:37,497</t>
  </si>
  <si>
    <t>16:21:39,597</t>
  </si>
  <si>
    <t>16:21:42,560</t>
  </si>
  <si>
    <t>16:21:44,556</t>
  </si>
  <si>
    <t>16:21:47,870</t>
  </si>
  <si>
    <t>16:21:51,054</t>
  </si>
  <si>
    <t>16:21:54,144</t>
  </si>
  <si>
    <t>16:21:56,081</t>
  </si>
  <si>
    <t>16:21:59,167</t>
  </si>
  <si>
    <t>16:22:01,522</t>
  </si>
  <si>
    <t>16:22:04,770</t>
  </si>
  <si>
    <t>Length of phrase (characters)</t>
  </si>
  <si>
    <t>TTP (seconds)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</si>
</sst>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1" formatCode="hh:mm:ss.000"/>
    <numFmt numFmtId="172" formatCode="ss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/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3" xfId="0" applyFont="1" applyBorder="1"/>
    <xf numFmtId="0" fontId="0" fillId="0" borderId="0" xfId="0" applyBorder="1" applyAlignment="1">
      <alignment horizontal="center" vertical="center" wrapText="1"/>
    </xf>
    <xf numFmtId="9" fontId="0" fillId="0" borderId="0" xfId="1" applyFont="1"/>
    <xf numFmtId="9" fontId="0" fillId="0" borderId="5" xfId="1" applyFont="1" applyBorder="1" applyAlignment="1">
      <alignment horizontal="center" vertical="center" wrapText="1"/>
    </xf>
    <xf numFmtId="9" fontId="0" fillId="0" borderId="0" xfId="1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5" xfId="0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9" fontId="0" fillId="0" borderId="1" xfId="1" applyFont="1" applyBorder="1" applyAlignment="1">
      <alignment horizontal="center" vertical="center" wrapText="1"/>
    </xf>
    <xf numFmtId="0" fontId="0" fillId="0" borderId="2" xfId="0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5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7" xfId="0" applyBorder="1"/>
    <xf numFmtId="0" fontId="0" fillId="0" borderId="9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right"/>
    </xf>
    <xf numFmtId="0" fontId="0" fillId="0" borderId="11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9" fontId="0" fillId="0" borderId="5" xfId="1" applyFont="1" applyBorder="1" applyAlignment="1">
      <alignment horizontal="center" vertical="center" wrapText="1"/>
    </xf>
    <xf numFmtId="171" fontId="0" fillId="0" borderId="0" xfId="0" applyNumberFormat="1"/>
    <xf numFmtId="172" fontId="0" fillId="0" borderId="3" xfId="0" applyNumberFormat="1" applyBorder="1" applyAlignment="1">
      <alignment horizontal="center" vertical="center"/>
    </xf>
    <xf numFmtId="172" fontId="0" fillId="0" borderId="7" xfId="0" applyNumberFormat="1" applyBorder="1" applyAlignment="1">
      <alignment horizontal="center" vertical="center"/>
    </xf>
    <xf numFmtId="9" fontId="0" fillId="0" borderId="0" xfId="1" applyFont="1" applyBorder="1" applyAlignment="1">
      <alignment horizontal="center" vertical="center" wrapText="1"/>
    </xf>
    <xf numFmtId="9" fontId="0" fillId="0" borderId="0" xfId="1" applyFont="1" applyBorder="1" applyAlignment="1">
      <alignment vertical="center" wrapText="1"/>
    </xf>
    <xf numFmtId="9" fontId="0" fillId="0" borderId="3" xfId="1" applyFont="1" applyBorder="1"/>
    <xf numFmtId="171" fontId="0" fillId="0" borderId="7" xfId="1" applyNumberFormat="1" applyFont="1" applyBorder="1" applyAlignment="1">
      <alignment horizontal="center" vertical="center" wrapText="1"/>
    </xf>
    <xf numFmtId="171" fontId="0" fillId="0" borderId="5" xfId="1" applyNumberFormat="1" applyFont="1" applyBorder="1" applyAlignment="1">
      <alignment horizontal="center" vertical="center" wrapText="1"/>
    </xf>
    <xf numFmtId="171" fontId="0" fillId="0" borderId="3" xfId="1" applyNumberFormat="1" applyFont="1" applyBorder="1" applyAlignment="1">
      <alignment horizontal="center" vertical="center" wrapText="1"/>
    </xf>
    <xf numFmtId="171" fontId="0" fillId="0" borderId="0" xfId="1" applyNumberFormat="1" applyFont="1" applyBorder="1" applyAlignment="1">
      <alignment horizontal="center" vertical="center" wrapText="1"/>
    </xf>
    <xf numFmtId="171" fontId="0" fillId="0" borderId="10" xfId="0" applyNumberFormat="1" applyBorder="1" applyAlignment="1">
      <alignment horizontal="center" vertical="center"/>
    </xf>
    <xf numFmtId="171" fontId="0" fillId="0" borderId="9" xfId="0" applyNumberFormat="1" applyBorder="1" applyAlignment="1">
      <alignment horizontal="center" vertical="center"/>
    </xf>
    <xf numFmtId="171" fontId="0" fillId="0" borderId="3" xfId="1" applyNumberFormat="1" applyFont="1" applyBorder="1" applyAlignment="1">
      <alignment vertical="center" wrapText="1"/>
    </xf>
    <xf numFmtId="171" fontId="0" fillId="0" borderId="0" xfId="1" applyNumberFormat="1" applyFont="1" applyBorder="1" applyAlignment="1">
      <alignment vertical="center" wrapText="1"/>
    </xf>
    <xf numFmtId="171" fontId="0" fillId="0" borderId="3" xfId="1" applyNumberFormat="1" applyFont="1" applyBorder="1"/>
    <xf numFmtId="171" fontId="0" fillId="0" borderId="0" xfId="1" applyNumberFormat="1" applyFont="1"/>
    <xf numFmtId="171" fontId="0" fillId="0" borderId="12" xfId="1" applyNumberFormat="1" applyFont="1" applyBorder="1" applyAlignment="1">
      <alignment horizontal="center" vertical="center" wrapText="1"/>
    </xf>
    <xf numFmtId="171" fontId="0" fillId="0" borderId="13" xfId="1" applyNumberFormat="1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2" xfId="0" applyFont="1" applyBorder="1"/>
    <xf numFmtId="9" fontId="0" fillId="0" borderId="13" xfId="1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7" xfId="0" applyFont="1" applyBorder="1"/>
    <xf numFmtId="0" fontId="0" fillId="0" borderId="12" xfId="0" applyBorder="1"/>
    <xf numFmtId="21" fontId="0" fillId="0" borderId="0" xfId="0" applyNumberFormat="1"/>
    <xf numFmtId="172" fontId="0" fillId="0" borderId="12" xfId="0" applyNumberFormat="1" applyBorder="1" applyAlignment="1">
      <alignment horizontal="center" vertical="center"/>
    </xf>
    <xf numFmtId="172" fontId="0" fillId="0" borderId="14" xfId="0" applyNumberFormat="1" applyBorder="1" applyAlignment="1">
      <alignment horizontal="center" vertical="center" wrapText="1"/>
    </xf>
    <xf numFmtId="172" fontId="0" fillId="0" borderId="1" xfId="0" applyNumberFormat="1" applyBorder="1" applyAlignment="1">
      <alignment horizontal="center" vertical="center" wrapText="1"/>
    </xf>
    <xf numFmtId="172" fontId="0" fillId="0" borderId="4" xfId="0" applyNumberFormat="1" applyBorder="1" applyAlignment="1">
      <alignment horizontal="center" vertical="center" wrapText="1"/>
    </xf>
    <xf numFmtId="9" fontId="0" fillId="0" borderId="10" xfId="1" applyFont="1" applyBorder="1" applyAlignment="1">
      <alignment horizontal="center" vertical="center"/>
    </xf>
    <xf numFmtId="9" fontId="0" fillId="0" borderId="14" xfId="1" applyFont="1" applyBorder="1" applyAlignment="1">
      <alignment horizontal="center" vertical="center" wrapText="1"/>
    </xf>
    <xf numFmtId="9" fontId="0" fillId="0" borderId="4" xfId="1" applyFont="1" applyBorder="1" applyAlignment="1">
      <alignment horizontal="center" vertical="center" wrapText="1"/>
    </xf>
    <xf numFmtId="9" fontId="0" fillId="0" borderId="11" xfId="1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72" fontId="0" fillId="0" borderId="10" xfId="0" applyNumberFormat="1" applyFill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0" fillId="0" borderId="3" xfId="1" applyFont="1" applyBorder="1" applyAlignment="1">
      <alignment horizontal="center" vertical="center"/>
    </xf>
    <xf numFmtId="9" fontId="0" fillId="0" borderId="7" xfId="1" applyFont="1" applyBorder="1" applyAlignment="1">
      <alignment horizontal="center" vertical="center"/>
    </xf>
    <xf numFmtId="0" fontId="0" fillId="0" borderId="0" xfId="0" applyNumberFormat="1"/>
  </cellXfs>
  <cellStyles count="2">
    <cellStyle name="Normal" xfId="0" builtinId="0"/>
    <cellStyle name="Percent" xfId="1" builtinId="5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Processing Time by Phrase Length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Sheet2!$J$1</c:f>
              <c:strCache>
                <c:ptCount val="1"/>
                <c:pt idx="0">
                  <c:v>TTP (seconds)</c:v>
                </c:pt>
              </c:strCache>
            </c:strRef>
          </c:tx>
          <c:spPr>
            <a:ln w="28575">
              <a:noFill/>
            </a:ln>
            <a:effectLst/>
          </c:spPr>
          <c:marker>
            <c:symbol val="circle"/>
            <c:size val="7"/>
            <c:spPr>
              <a:solidFill>
                <a:schemeClr val="accent1"/>
              </a:solidFill>
              <a:effectLst/>
            </c:spPr>
          </c:marker>
          <c:trendline>
            <c:trendlineType val="linear"/>
            <c:dispRSqr val="0"/>
            <c:dispEq val="0"/>
          </c:trendline>
          <c:xVal>
            <c:numRef>
              <c:f>Sheet2!$I$2:$I$166</c:f>
              <c:numCache>
                <c:formatCode>General</c:formatCode>
                <c:ptCount val="16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13</c:v>
                </c:pt>
                <c:pt idx="11">
                  <c:v>16</c:v>
                </c:pt>
                <c:pt idx="12">
                  <c:v>16</c:v>
                </c:pt>
                <c:pt idx="13">
                  <c:v>16</c:v>
                </c:pt>
                <c:pt idx="14">
                  <c:v>16</c:v>
                </c:pt>
                <c:pt idx="15">
                  <c:v>14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13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15</c:v>
                </c:pt>
                <c:pt idx="34">
                  <c:v>14</c:v>
                </c:pt>
                <c:pt idx="35">
                  <c:v>17</c:v>
                </c:pt>
                <c:pt idx="36">
                  <c:v>17</c:v>
                </c:pt>
                <c:pt idx="37">
                  <c:v>17</c:v>
                </c:pt>
                <c:pt idx="38">
                  <c:v>18</c:v>
                </c:pt>
                <c:pt idx="39">
                  <c:v>18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13</c:v>
                </c:pt>
                <c:pt idx="44">
                  <c:v>14</c:v>
                </c:pt>
                <c:pt idx="45">
                  <c:v>19</c:v>
                </c:pt>
                <c:pt idx="46">
                  <c:v>19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  <c:pt idx="50">
                  <c:v>16</c:v>
                </c:pt>
                <c:pt idx="51">
                  <c:v>18</c:v>
                </c:pt>
                <c:pt idx="52">
                  <c:v>18</c:v>
                </c:pt>
                <c:pt idx="53">
                  <c:v>18</c:v>
                </c:pt>
                <c:pt idx="54">
                  <c:v>13</c:v>
                </c:pt>
                <c:pt idx="55">
                  <c:v>26</c:v>
                </c:pt>
                <c:pt idx="56">
                  <c:v>19</c:v>
                </c:pt>
                <c:pt idx="57">
                  <c:v>25</c:v>
                </c:pt>
                <c:pt idx="58">
                  <c:v>22</c:v>
                </c:pt>
                <c:pt idx="59">
                  <c:v>26</c:v>
                </c:pt>
                <c:pt idx="60">
                  <c:v>17</c:v>
                </c:pt>
                <c:pt idx="61">
                  <c:v>17</c:v>
                </c:pt>
                <c:pt idx="62">
                  <c:v>17</c:v>
                </c:pt>
                <c:pt idx="63">
                  <c:v>13</c:v>
                </c:pt>
                <c:pt idx="64">
                  <c:v>17</c:v>
                </c:pt>
                <c:pt idx="65">
                  <c:v>15</c:v>
                </c:pt>
                <c:pt idx="66">
                  <c:v>20</c:v>
                </c:pt>
                <c:pt idx="67">
                  <c:v>16</c:v>
                </c:pt>
                <c:pt idx="68">
                  <c:v>16</c:v>
                </c:pt>
                <c:pt idx="69">
                  <c:v>16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17</c:v>
                </c:pt>
                <c:pt idx="75">
                  <c:v>18</c:v>
                </c:pt>
                <c:pt idx="76">
                  <c:v>18</c:v>
                </c:pt>
                <c:pt idx="77">
                  <c:v>18</c:v>
                </c:pt>
                <c:pt idx="78">
                  <c:v>18</c:v>
                </c:pt>
                <c:pt idx="79">
                  <c:v>16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19</c:v>
                </c:pt>
                <c:pt idx="84">
                  <c:v>20</c:v>
                </c:pt>
                <c:pt idx="85">
                  <c:v>17</c:v>
                </c:pt>
                <c:pt idx="86">
                  <c:v>17</c:v>
                </c:pt>
                <c:pt idx="87">
                  <c:v>17</c:v>
                </c:pt>
                <c:pt idx="88">
                  <c:v>17</c:v>
                </c:pt>
                <c:pt idx="89">
                  <c:v>17</c:v>
                </c:pt>
                <c:pt idx="90">
                  <c:v>18</c:v>
                </c:pt>
                <c:pt idx="91">
                  <c:v>18</c:v>
                </c:pt>
                <c:pt idx="92">
                  <c:v>18</c:v>
                </c:pt>
                <c:pt idx="93">
                  <c:v>18</c:v>
                </c:pt>
                <c:pt idx="94">
                  <c:v>18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5</c:v>
                </c:pt>
                <c:pt idx="101">
                  <c:v>2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11</c:v>
                </c:pt>
                <c:pt idx="116">
                  <c:v>11</c:v>
                </c:pt>
                <c:pt idx="117">
                  <c:v>11</c:v>
                </c:pt>
                <c:pt idx="118">
                  <c:v>11</c:v>
                </c:pt>
                <c:pt idx="119">
                  <c:v>11</c:v>
                </c:pt>
                <c:pt idx="120">
                  <c:v>12</c:v>
                </c:pt>
                <c:pt idx="121">
                  <c:v>8</c:v>
                </c:pt>
                <c:pt idx="122">
                  <c:v>8</c:v>
                </c:pt>
                <c:pt idx="123">
                  <c:v>10</c:v>
                </c:pt>
                <c:pt idx="124">
                  <c:v>10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3</c:v>
                </c:pt>
                <c:pt idx="136">
                  <c:v>4</c:v>
                </c:pt>
                <c:pt idx="137">
                  <c:v>3</c:v>
                </c:pt>
                <c:pt idx="138">
                  <c:v>2</c:v>
                </c:pt>
                <c:pt idx="139">
                  <c:v>4</c:v>
                </c:pt>
                <c:pt idx="140">
                  <c:v>2</c:v>
                </c:pt>
                <c:pt idx="141">
                  <c:v>2</c:v>
                </c:pt>
                <c:pt idx="142">
                  <c:v>3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3</c:v>
                </c:pt>
                <c:pt idx="147">
                  <c:v>3</c:v>
                </c:pt>
                <c:pt idx="148">
                  <c:v>4</c:v>
                </c:pt>
                <c:pt idx="149">
                  <c:v>3</c:v>
                </c:pt>
                <c:pt idx="150">
                  <c:v>13</c:v>
                </c:pt>
                <c:pt idx="151">
                  <c:v>13</c:v>
                </c:pt>
                <c:pt idx="152">
                  <c:v>13</c:v>
                </c:pt>
                <c:pt idx="153">
                  <c:v>13</c:v>
                </c:pt>
                <c:pt idx="154">
                  <c:v>13</c:v>
                </c:pt>
                <c:pt idx="155">
                  <c:v>8</c:v>
                </c:pt>
                <c:pt idx="156">
                  <c:v>8</c:v>
                </c:pt>
                <c:pt idx="157">
                  <c:v>8</c:v>
                </c:pt>
                <c:pt idx="158">
                  <c:v>8</c:v>
                </c:pt>
                <c:pt idx="159">
                  <c:v>8</c:v>
                </c:pt>
                <c:pt idx="160">
                  <c:v>9</c:v>
                </c:pt>
                <c:pt idx="161">
                  <c:v>7</c:v>
                </c:pt>
                <c:pt idx="162">
                  <c:v>9</c:v>
                </c:pt>
                <c:pt idx="163">
                  <c:v>9</c:v>
                </c:pt>
                <c:pt idx="164">
                  <c:v>9</c:v>
                </c:pt>
              </c:numCache>
            </c:numRef>
          </c:xVal>
          <c:yVal>
            <c:numRef>
              <c:f>Sheet2!$J$2:$J$166</c:f>
              <c:numCache>
                <c:formatCode>General</c:formatCode>
                <c:ptCount val="165"/>
                <c:pt idx="0">
                  <c:v>3.85</c:v>
                </c:pt>
                <c:pt idx="1">
                  <c:v>2.9729999999999999</c:v>
                </c:pt>
                <c:pt idx="2">
                  <c:v>2.907</c:v>
                </c:pt>
                <c:pt idx="3">
                  <c:v>2.9609999999999999</c:v>
                </c:pt>
                <c:pt idx="4">
                  <c:v>2.742</c:v>
                </c:pt>
                <c:pt idx="5">
                  <c:v>8.9309999999999992</c:v>
                </c:pt>
                <c:pt idx="6">
                  <c:v>4.0250000000000004</c:v>
                </c:pt>
                <c:pt idx="7">
                  <c:v>3.6509999999999998</c:v>
                </c:pt>
                <c:pt idx="8">
                  <c:v>3.9390000000000001</c:v>
                </c:pt>
                <c:pt idx="9">
                  <c:v>4.3620000000000001</c:v>
                </c:pt>
                <c:pt idx="10">
                  <c:v>4.7169999999999996</c:v>
                </c:pt>
                <c:pt idx="11">
                  <c:v>5.3310000000000004</c:v>
                </c:pt>
                <c:pt idx="12">
                  <c:v>3.5270000000000001</c:v>
                </c:pt>
                <c:pt idx="13">
                  <c:v>4.9809999999999999</c:v>
                </c:pt>
                <c:pt idx="14">
                  <c:v>3.7559999999999998</c:v>
                </c:pt>
                <c:pt idx="15">
                  <c:v>4.3730000000000002</c:v>
                </c:pt>
                <c:pt idx="16">
                  <c:v>4.415</c:v>
                </c:pt>
                <c:pt idx="17">
                  <c:v>4.4720000000000004</c:v>
                </c:pt>
                <c:pt idx="18">
                  <c:v>3.35</c:v>
                </c:pt>
                <c:pt idx="19">
                  <c:v>3.5329999999999999</c:v>
                </c:pt>
                <c:pt idx="20">
                  <c:v>3.6019999999999999</c:v>
                </c:pt>
                <c:pt idx="21">
                  <c:v>2.746</c:v>
                </c:pt>
                <c:pt idx="22">
                  <c:v>2.887</c:v>
                </c:pt>
                <c:pt idx="23">
                  <c:v>2.86</c:v>
                </c:pt>
                <c:pt idx="24">
                  <c:v>2.6840000000000002</c:v>
                </c:pt>
                <c:pt idx="25">
                  <c:v>3.9369999999999998</c:v>
                </c:pt>
                <c:pt idx="26">
                  <c:v>3.246</c:v>
                </c:pt>
                <c:pt idx="27">
                  <c:v>3.2149999999999999</c:v>
                </c:pt>
                <c:pt idx="28">
                  <c:v>3.1789999999999998</c:v>
                </c:pt>
                <c:pt idx="29">
                  <c:v>3.0649999999999999</c:v>
                </c:pt>
                <c:pt idx="30">
                  <c:v>4.1719999999999997</c:v>
                </c:pt>
                <c:pt idx="31">
                  <c:v>3.927</c:v>
                </c:pt>
                <c:pt idx="32">
                  <c:v>3.5019999999999998</c:v>
                </c:pt>
                <c:pt idx="33">
                  <c:v>3.1869999999999998</c:v>
                </c:pt>
                <c:pt idx="34">
                  <c:v>3.6739999999999999</c:v>
                </c:pt>
                <c:pt idx="35">
                  <c:v>4.5190000000000001</c:v>
                </c:pt>
                <c:pt idx="36">
                  <c:v>3.528</c:v>
                </c:pt>
                <c:pt idx="37">
                  <c:v>3.609</c:v>
                </c:pt>
                <c:pt idx="38">
                  <c:v>3.5129999999999999</c:v>
                </c:pt>
                <c:pt idx="39">
                  <c:v>5.7430000000000003</c:v>
                </c:pt>
                <c:pt idx="40">
                  <c:v>3.488</c:v>
                </c:pt>
                <c:pt idx="41">
                  <c:v>3.214</c:v>
                </c:pt>
                <c:pt idx="42">
                  <c:v>3.8050000000000002</c:v>
                </c:pt>
                <c:pt idx="43">
                  <c:v>3.8279999999999998</c:v>
                </c:pt>
                <c:pt idx="44">
                  <c:v>6.14</c:v>
                </c:pt>
                <c:pt idx="45">
                  <c:v>4.6420000000000003</c:v>
                </c:pt>
                <c:pt idx="46">
                  <c:v>4.0490000000000004</c:v>
                </c:pt>
                <c:pt idx="47">
                  <c:v>4.375</c:v>
                </c:pt>
                <c:pt idx="48">
                  <c:v>3.7389999999999999</c:v>
                </c:pt>
                <c:pt idx="49">
                  <c:v>3.6739999999999999</c:v>
                </c:pt>
                <c:pt idx="50">
                  <c:v>3.6419999999999999</c:v>
                </c:pt>
                <c:pt idx="51">
                  <c:v>3.8220000000000001</c:v>
                </c:pt>
                <c:pt idx="52">
                  <c:v>3.448</c:v>
                </c:pt>
                <c:pt idx="53">
                  <c:v>3.3479999999999999</c:v>
                </c:pt>
                <c:pt idx="54">
                  <c:v>3.1779999999999999</c:v>
                </c:pt>
                <c:pt idx="55">
                  <c:v>4.3970000000000002</c:v>
                </c:pt>
                <c:pt idx="56">
                  <c:v>4.5019999999999998</c:v>
                </c:pt>
                <c:pt idx="57">
                  <c:v>4.7569999999999997</c:v>
                </c:pt>
                <c:pt idx="58">
                  <c:v>4.9050000000000002</c:v>
                </c:pt>
                <c:pt idx="59">
                  <c:v>5.0179999999999998</c:v>
                </c:pt>
                <c:pt idx="60">
                  <c:v>3.6989999999999998</c:v>
                </c:pt>
                <c:pt idx="61">
                  <c:v>3.2810000000000001</c:v>
                </c:pt>
                <c:pt idx="62">
                  <c:v>3.327</c:v>
                </c:pt>
                <c:pt idx="63">
                  <c:v>3.65</c:v>
                </c:pt>
                <c:pt idx="64">
                  <c:v>4.5069999999999997</c:v>
                </c:pt>
                <c:pt idx="65">
                  <c:v>3.2850000000000001</c:v>
                </c:pt>
                <c:pt idx="66">
                  <c:v>4.2649999999999997</c:v>
                </c:pt>
                <c:pt idx="67">
                  <c:v>3.9489999999999998</c:v>
                </c:pt>
                <c:pt idx="68">
                  <c:v>3.3610000000000002</c:v>
                </c:pt>
                <c:pt idx="69">
                  <c:v>3.7879999999999998</c:v>
                </c:pt>
                <c:pt idx="70">
                  <c:v>3.581</c:v>
                </c:pt>
                <c:pt idx="71">
                  <c:v>3.673</c:v>
                </c:pt>
                <c:pt idx="72">
                  <c:v>3.5760000000000001</c:v>
                </c:pt>
                <c:pt idx="73">
                  <c:v>4.3159999999999998</c:v>
                </c:pt>
                <c:pt idx="74">
                  <c:v>4.2409999999999997</c:v>
                </c:pt>
                <c:pt idx="75">
                  <c:v>3.8809999999999998</c:v>
                </c:pt>
                <c:pt idx="76">
                  <c:v>4.5209999999999999</c:v>
                </c:pt>
                <c:pt idx="77">
                  <c:v>4.3769999999999998</c:v>
                </c:pt>
                <c:pt idx="78">
                  <c:v>3.6139999999999999</c:v>
                </c:pt>
                <c:pt idx="79">
                  <c:v>3.8290000000000002</c:v>
                </c:pt>
                <c:pt idx="80">
                  <c:v>3.843</c:v>
                </c:pt>
                <c:pt idx="81">
                  <c:v>4.0369999999999999</c:v>
                </c:pt>
                <c:pt idx="82">
                  <c:v>4.2649999999999997</c:v>
                </c:pt>
                <c:pt idx="83">
                  <c:v>3.9950000000000001</c:v>
                </c:pt>
                <c:pt idx="84">
                  <c:v>4.2469999999999999</c:v>
                </c:pt>
                <c:pt idx="85">
                  <c:v>3.4390000000000001</c:v>
                </c:pt>
                <c:pt idx="86">
                  <c:v>3.766</c:v>
                </c:pt>
                <c:pt idx="87">
                  <c:v>3.9489999999999998</c:v>
                </c:pt>
                <c:pt idx="88">
                  <c:v>3.8460000000000001</c:v>
                </c:pt>
                <c:pt idx="89">
                  <c:v>5.601</c:v>
                </c:pt>
                <c:pt idx="90">
                  <c:v>3.7639999999999998</c:v>
                </c:pt>
                <c:pt idx="91">
                  <c:v>3.879</c:v>
                </c:pt>
                <c:pt idx="92">
                  <c:v>3.56</c:v>
                </c:pt>
                <c:pt idx="93">
                  <c:v>4.3769999999999998</c:v>
                </c:pt>
                <c:pt idx="94">
                  <c:v>4.1219999999999999</c:v>
                </c:pt>
                <c:pt idx="95">
                  <c:v>3.4430000000000001</c:v>
                </c:pt>
                <c:pt idx="96">
                  <c:v>3.5739999999999998</c:v>
                </c:pt>
                <c:pt idx="97">
                  <c:v>3.5819999999999999</c:v>
                </c:pt>
                <c:pt idx="98">
                  <c:v>3.7</c:v>
                </c:pt>
                <c:pt idx="99">
                  <c:v>3.6640000000000001</c:v>
                </c:pt>
                <c:pt idx="100">
                  <c:v>3.53</c:v>
                </c:pt>
                <c:pt idx="101">
                  <c:v>2.4590000000000001</c:v>
                </c:pt>
                <c:pt idx="102">
                  <c:v>3.7360000000000002</c:v>
                </c:pt>
                <c:pt idx="103">
                  <c:v>3.7320000000000002</c:v>
                </c:pt>
                <c:pt idx="104">
                  <c:v>3.56</c:v>
                </c:pt>
                <c:pt idx="105">
                  <c:v>3.6240000000000001</c:v>
                </c:pt>
                <c:pt idx="106">
                  <c:v>4.0650000000000004</c:v>
                </c:pt>
                <c:pt idx="107">
                  <c:v>4.5940000000000003</c:v>
                </c:pt>
                <c:pt idx="108">
                  <c:v>4.609</c:v>
                </c:pt>
                <c:pt idx="109">
                  <c:v>4.3380000000000001</c:v>
                </c:pt>
                <c:pt idx="110">
                  <c:v>3.048</c:v>
                </c:pt>
                <c:pt idx="111">
                  <c:v>3.6379999999999999</c:v>
                </c:pt>
                <c:pt idx="112">
                  <c:v>3.8860000000000001</c:v>
                </c:pt>
                <c:pt idx="113">
                  <c:v>3.738</c:v>
                </c:pt>
                <c:pt idx="114">
                  <c:v>3.6269999999999998</c:v>
                </c:pt>
                <c:pt idx="115">
                  <c:v>3.17</c:v>
                </c:pt>
                <c:pt idx="116">
                  <c:v>3.238</c:v>
                </c:pt>
                <c:pt idx="117">
                  <c:v>3.1640000000000001</c:v>
                </c:pt>
                <c:pt idx="118">
                  <c:v>3.2959999999999998</c:v>
                </c:pt>
                <c:pt idx="119">
                  <c:v>4.2610000000000001</c:v>
                </c:pt>
                <c:pt idx="120">
                  <c:v>3.371</c:v>
                </c:pt>
                <c:pt idx="121">
                  <c:v>3.3980000000000001</c:v>
                </c:pt>
                <c:pt idx="122">
                  <c:v>3.4580000000000002</c:v>
                </c:pt>
                <c:pt idx="123">
                  <c:v>3.5019999999999998</c:v>
                </c:pt>
                <c:pt idx="124">
                  <c:v>3.4620000000000002</c:v>
                </c:pt>
                <c:pt idx="125">
                  <c:v>2.31</c:v>
                </c:pt>
                <c:pt idx="126">
                  <c:v>2.3420000000000001</c:v>
                </c:pt>
                <c:pt idx="127">
                  <c:v>2.5129999999999999</c:v>
                </c:pt>
                <c:pt idx="128">
                  <c:v>2.6480000000000001</c:v>
                </c:pt>
                <c:pt idx="129">
                  <c:v>2.4780000000000002</c:v>
                </c:pt>
                <c:pt idx="130">
                  <c:v>2.4940000000000002</c:v>
                </c:pt>
                <c:pt idx="131">
                  <c:v>2.6120000000000001</c:v>
                </c:pt>
                <c:pt idx="132">
                  <c:v>2.5670000000000002</c:v>
                </c:pt>
                <c:pt idx="133">
                  <c:v>3.5920000000000001</c:v>
                </c:pt>
                <c:pt idx="134">
                  <c:v>2.6339999999999999</c:v>
                </c:pt>
                <c:pt idx="135">
                  <c:v>2.7429999999999999</c:v>
                </c:pt>
                <c:pt idx="136">
                  <c:v>2.4249999999999998</c:v>
                </c:pt>
                <c:pt idx="137">
                  <c:v>2.3980000000000001</c:v>
                </c:pt>
                <c:pt idx="138">
                  <c:v>2.4710000000000001</c:v>
                </c:pt>
                <c:pt idx="139">
                  <c:v>2.61</c:v>
                </c:pt>
                <c:pt idx="140">
                  <c:v>2.2669999999999999</c:v>
                </c:pt>
                <c:pt idx="141">
                  <c:v>2.2040000000000002</c:v>
                </c:pt>
                <c:pt idx="142">
                  <c:v>2.3519999999999999</c:v>
                </c:pt>
                <c:pt idx="143">
                  <c:v>2.5720000000000001</c:v>
                </c:pt>
                <c:pt idx="144">
                  <c:v>2.343</c:v>
                </c:pt>
                <c:pt idx="145">
                  <c:v>2.2269999999999999</c:v>
                </c:pt>
                <c:pt idx="146">
                  <c:v>2.3730000000000002</c:v>
                </c:pt>
                <c:pt idx="147">
                  <c:v>2.5739999999999998</c:v>
                </c:pt>
                <c:pt idx="148">
                  <c:v>2.5489999999999999</c:v>
                </c:pt>
                <c:pt idx="149">
                  <c:v>2.665</c:v>
                </c:pt>
                <c:pt idx="150">
                  <c:v>2.931</c:v>
                </c:pt>
                <c:pt idx="151">
                  <c:v>3.3540000000000001</c:v>
                </c:pt>
                <c:pt idx="152">
                  <c:v>3.0979999999999999</c:v>
                </c:pt>
                <c:pt idx="153">
                  <c:v>3.08</c:v>
                </c:pt>
                <c:pt idx="154">
                  <c:v>3.202</c:v>
                </c:pt>
                <c:pt idx="155">
                  <c:v>2.907</c:v>
                </c:pt>
                <c:pt idx="156">
                  <c:v>2.7240000000000002</c:v>
                </c:pt>
                <c:pt idx="157">
                  <c:v>2.746</c:v>
                </c:pt>
                <c:pt idx="158">
                  <c:v>2.7669999999999999</c:v>
                </c:pt>
                <c:pt idx="159">
                  <c:v>2.7669999999999999</c:v>
                </c:pt>
                <c:pt idx="160">
                  <c:v>2.9630000000000001</c:v>
                </c:pt>
                <c:pt idx="161">
                  <c:v>3.3140000000000001</c:v>
                </c:pt>
                <c:pt idx="162">
                  <c:v>3.09</c:v>
                </c:pt>
                <c:pt idx="163">
                  <c:v>3.0859999999999999</c:v>
                </c:pt>
                <c:pt idx="164">
                  <c:v>3.2480000000000002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196288"/>
        <c:axId val="141190272"/>
      </c:scatterChart>
      <c:valAx>
        <c:axId val="14119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Phrase</a:t>
                </a:r>
                <a:r>
                  <a:rPr lang="en-GB" baseline="0"/>
                  <a:t> length (</a:t>
                </a:r>
                <a:r>
                  <a:rPr lang="en-GB"/>
                  <a:t>Character count)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1190272"/>
        <c:crosses val="autoZero"/>
        <c:crossBetween val="midCat"/>
      </c:valAx>
      <c:valAx>
        <c:axId val="1411902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Processing time (Seconds)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1196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304799</xdr:colOff>
      <xdr:row>7</xdr:row>
      <xdr:rowOff>95249</xdr:rowOff>
    </xdr:from>
    <xdr:to>
      <xdr:col>22</xdr:col>
      <xdr:colOff>600075</xdr:colOff>
      <xdr:row>38</xdr:row>
      <xdr:rowOff>104774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66"/>
  <sheetViews>
    <sheetView workbookViewId="0">
      <selection activeCell="S2" sqref="S2:S166"/>
    </sheetView>
  </sheetViews>
  <sheetFormatPr defaultRowHeight="15" x14ac:dyDescent="0.25"/>
  <cols>
    <col min="1" max="1" width="9.28515625" style="1" bestFit="1" customWidth="1"/>
    <col min="2" max="2" width="7" style="1" bestFit="1" customWidth="1"/>
    <col min="3" max="3" width="5.7109375" style="8" customWidth="1"/>
    <col min="4" max="5" width="17" style="6" customWidth="1"/>
    <col min="6" max="6" width="30" style="6" customWidth="1"/>
    <col min="7" max="7" width="13" style="6" customWidth="1"/>
    <col min="8" max="8" width="9.42578125" style="18" customWidth="1"/>
    <col min="9" max="9" width="17.42578125" style="59" customWidth="1"/>
    <col min="10" max="10" width="18.28515625" style="60" customWidth="1"/>
    <col min="11" max="11" width="15.42578125" style="6" customWidth="1"/>
    <col min="12" max="12" width="12.85546875" style="4" customWidth="1"/>
    <col min="13" max="13" width="16.140625" style="6" customWidth="1"/>
    <col min="14" max="14" width="9.28515625" style="3" customWidth="1"/>
    <col min="15" max="15" width="9.7109375" style="4" customWidth="1"/>
    <col min="16" max="16" width="19" customWidth="1"/>
    <col min="17" max="17" width="19.7109375" hidden="1" customWidth="1"/>
    <col min="18" max="18" width="20.85546875" hidden="1" customWidth="1"/>
    <col min="19" max="19" width="30.85546875" style="86" customWidth="1"/>
    <col min="20" max="20" width="19.85546875" customWidth="1"/>
    <col min="22" max="22" width="15.140625" customWidth="1"/>
  </cols>
  <sheetData>
    <row r="1" spans="1:22" ht="48" customHeight="1" x14ac:dyDescent="0.25">
      <c r="A1" s="11" t="s">
        <v>7</v>
      </c>
      <c r="B1" s="11" t="s">
        <v>8</v>
      </c>
      <c r="C1" s="12" t="s">
        <v>4</v>
      </c>
      <c r="D1" s="22" t="s">
        <v>23</v>
      </c>
      <c r="E1" s="13" t="s">
        <v>1</v>
      </c>
      <c r="F1" s="13" t="s">
        <v>2</v>
      </c>
      <c r="G1" s="13" t="s">
        <v>0</v>
      </c>
      <c r="H1" s="19" t="s">
        <v>12</v>
      </c>
      <c r="I1" s="51" t="s">
        <v>70</v>
      </c>
      <c r="J1" s="52" t="s">
        <v>69</v>
      </c>
      <c r="K1" s="13" t="s">
        <v>129</v>
      </c>
      <c r="L1" s="14" t="s">
        <v>130</v>
      </c>
      <c r="M1" s="13" t="s">
        <v>3</v>
      </c>
      <c r="N1" s="11" t="s">
        <v>18</v>
      </c>
      <c r="O1" s="14" t="s">
        <v>21</v>
      </c>
      <c r="P1" s="23" t="s">
        <v>26</v>
      </c>
    </row>
    <row r="2" spans="1:22" x14ac:dyDescent="0.25">
      <c r="A2" s="80">
        <v>1</v>
      </c>
      <c r="B2" s="67">
        <v>1</v>
      </c>
      <c r="C2" s="81" t="str">
        <f>CONCATENATE(A2,".",B2)</f>
        <v>1.1</v>
      </c>
      <c r="D2" s="24" t="s">
        <v>24</v>
      </c>
      <c r="E2" s="24" t="s">
        <v>5</v>
      </c>
      <c r="F2" s="64" t="s">
        <v>22</v>
      </c>
      <c r="G2" s="83">
        <f>FuzzyMatch(UPPER(E2),UPPER(F2))/100</f>
        <v>1</v>
      </c>
      <c r="H2" s="65">
        <f>AVERAGE(G2:G6)</f>
        <v>1</v>
      </c>
      <c r="I2" s="61" t="str">
        <f>SUBSTITUTE(Q2,",",".")</f>
        <v>13:50:25.182</v>
      </c>
      <c r="J2" s="62" t="str">
        <f>SUBSTITUTE(R2,",",".")</f>
        <v>13:50:29.032</v>
      </c>
      <c r="K2" s="72">
        <f>J2-I2</f>
        <v>4.4560185185060774E-5</v>
      </c>
      <c r="L2" s="73">
        <f>AVERAGE(K2:K6)</f>
        <v>3.5724537037018499E-5</v>
      </c>
      <c r="M2" s="63" t="s">
        <v>13</v>
      </c>
      <c r="N2" s="66" t="s">
        <v>19</v>
      </c>
      <c r="O2" s="77">
        <f>COUNTIF(N2:N6,"Yes")/5</f>
        <v>1</v>
      </c>
      <c r="P2" s="67"/>
      <c r="Q2" t="s">
        <v>71</v>
      </c>
      <c r="R2" t="s">
        <v>72</v>
      </c>
      <c r="S2" s="86">
        <f>LEN(F2)</f>
        <v>5</v>
      </c>
      <c r="T2" s="45"/>
      <c r="U2" s="45"/>
      <c r="V2" s="45"/>
    </row>
    <row r="3" spans="1:22" x14ac:dyDescent="0.25">
      <c r="A3" s="40"/>
      <c r="B3" s="41">
        <v>2</v>
      </c>
      <c r="C3" s="9" t="str">
        <f>CONCATENATE(A2,".",B3)</f>
        <v>1.2</v>
      </c>
      <c r="D3" s="25"/>
      <c r="E3" s="25"/>
      <c r="F3" s="16" t="s">
        <v>22</v>
      </c>
      <c r="G3" s="84">
        <f>FuzzyMatch(UPPER(E2),UPPER(F3))/100</f>
        <v>1</v>
      </c>
      <c r="H3" s="20"/>
      <c r="I3" s="53" t="str">
        <f>SUBSTITUTE(Q3,",",".")</f>
        <v>13:50:33.817</v>
      </c>
      <c r="J3" s="54" t="str">
        <f>SUBSTITUTE(R3,",",".")</f>
        <v>13:50:36.790</v>
      </c>
      <c r="K3" s="46">
        <f>J3-I3</f>
        <v>3.4409722222128458E-5</v>
      </c>
      <c r="L3" s="74"/>
      <c r="M3" s="7"/>
      <c r="N3" s="17" t="s">
        <v>19</v>
      </c>
      <c r="O3" s="26"/>
      <c r="P3" s="41"/>
      <c r="Q3" t="s">
        <v>73</v>
      </c>
      <c r="R3" t="s">
        <v>74</v>
      </c>
      <c r="S3" s="86">
        <f t="shared" ref="S3:S66" si="0">LEN(F3)</f>
        <v>5</v>
      </c>
    </row>
    <row r="4" spans="1:22" x14ac:dyDescent="0.25">
      <c r="A4" s="40"/>
      <c r="B4" s="41">
        <v>3</v>
      </c>
      <c r="C4" s="9" t="str">
        <f>CONCATENATE(A2,".",B4)</f>
        <v>1.3</v>
      </c>
      <c r="D4" s="25"/>
      <c r="E4" s="25"/>
      <c r="F4" s="16" t="s">
        <v>22</v>
      </c>
      <c r="G4" s="84">
        <f>FuzzyMatch(UPPER(E2),UPPER(F4))/100</f>
        <v>1</v>
      </c>
      <c r="H4" s="20"/>
      <c r="I4" s="53" t="str">
        <f t="shared" ref="I4:I53" si="1">SUBSTITUTE(Q4,",",".")</f>
        <v>13:50:40.866</v>
      </c>
      <c r="J4" s="54" t="str">
        <f t="shared" ref="J4:J53" si="2">SUBSTITUTE(R4,",",".")</f>
        <v>13:50:43.773</v>
      </c>
      <c r="K4" s="46">
        <f>J4-I4</f>
        <v>3.3645833333428854E-5</v>
      </c>
      <c r="L4" s="74"/>
      <c r="M4" s="7"/>
      <c r="N4" s="17" t="s">
        <v>19</v>
      </c>
      <c r="O4" s="26"/>
      <c r="P4" s="41"/>
      <c r="Q4" t="s">
        <v>75</v>
      </c>
      <c r="R4" t="s">
        <v>76</v>
      </c>
      <c r="S4" s="86">
        <f t="shared" si="0"/>
        <v>5</v>
      </c>
    </row>
    <row r="5" spans="1:22" x14ac:dyDescent="0.25">
      <c r="A5" s="40"/>
      <c r="B5" s="41">
        <v>4</v>
      </c>
      <c r="C5" s="9" t="str">
        <f>CONCATENATE(A2,".",B5)</f>
        <v>1.4</v>
      </c>
      <c r="D5" s="25"/>
      <c r="E5" s="25"/>
      <c r="F5" s="16" t="s">
        <v>22</v>
      </c>
      <c r="G5" s="84">
        <f>FuzzyMatch(UPPER(E2),UPPER(F5))/100</f>
        <v>1</v>
      </c>
      <c r="H5" s="20"/>
      <c r="I5" s="53" t="str">
        <f t="shared" si="1"/>
        <v>13:50:47.753</v>
      </c>
      <c r="J5" s="54" t="str">
        <f t="shared" si="2"/>
        <v>13:50:50.714</v>
      </c>
      <c r="K5" s="46">
        <f>J5-I5</f>
        <v>3.4270833333294171E-5</v>
      </c>
      <c r="L5" s="74"/>
      <c r="M5" s="7"/>
      <c r="N5" s="17" t="s">
        <v>19</v>
      </c>
      <c r="O5" s="26"/>
      <c r="P5" s="41"/>
      <c r="Q5" t="s">
        <v>77</v>
      </c>
      <c r="R5" t="s">
        <v>78</v>
      </c>
      <c r="S5" s="86">
        <f t="shared" si="0"/>
        <v>5</v>
      </c>
    </row>
    <row r="6" spans="1:22" x14ac:dyDescent="0.25">
      <c r="A6" s="42"/>
      <c r="B6" s="30">
        <v>5</v>
      </c>
      <c r="C6" s="31" t="str">
        <f>CONCATENATE(A2,".",B6)</f>
        <v>1.5</v>
      </c>
      <c r="D6" s="68"/>
      <c r="E6" s="68"/>
      <c r="F6" s="69" t="s">
        <v>22</v>
      </c>
      <c r="G6" s="85">
        <f>FuzzyMatch(UPPER(E2),UPPER(F6))/100</f>
        <v>1</v>
      </c>
      <c r="H6" s="44"/>
      <c r="I6" s="51" t="str">
        <f t="shared" si="1"/>
        <v>13:50:57.497</v>
      </c>
      <c r="J6" s="52" t="str">
        <f t="shared" si="2"/>
        <v>13:51:00.239</v>
      </c>
      <c r="K6" s="47">
        <f>J6-I6</f>
        <v>3.1736111111180243E-5</v>
      </c>
      <c r="L6" s="75"/>
      <c r="M6" s="43"/>
      <c r="N6" s="11" t="s">
        <v>19</v>
      </c>
      <c r="O6" s="78"/>
      <c r="P6" s="30"/>
      <c r="Q6" t="s">
        <v>79</v>
      </c>
      <c r="R6" t="s">
        <v>80</v>
      </c>
      <c r="S6" s="86">
        <f t="shared" si="0"/>
        <v>5</v>
      </c>
    </row>
    <row r="7" spans="1:22" ht="15" customHeight="1" x14ac:dyDescent="0.25">
      <c r="A7" s="40">
        <v>2</v>
      </c>
      <c r="B7" s="41">
        <v>1</v>
      </c>
      <c r="C7" s="9" t="str">
        <f>CONCATENATE(A7,".",B7)</f>
        <v>2.1</v>
      </c>
      <c r="D7" s="25" t="s">
        <v>24</v>
      </c>
      <c r="E7" s="63" t="s">
        <v>6</v>
      </c>
      <c r="F7" s="70" t="s">
        <v>91</v>
      </c>
      <c r="G7" s="83">
        <f>FuzzyMatch(UPPER(E7),UPPER(F7))/100</f>
        <v>1</v>
      </c>
      <c r="H7" s="65">
        <f t="shared" ref="H7" si="3">AVERAGE(G7:G11)</f>
        <v>1</v>
      </c>
      <c r="I7" s="61" t="str">
        <f t="shared" si="1"/>
        <v>13:53:52.320</v>
      </c>
      <c r="J7" s="62" t="str">
        <f t="shared" si="2"/>
        <v>13:54:01.251</v>
      </c>
      <c r="K7" s="46">
        <f>J7-I7</f>
        <v>1.0336805555555273E-4</v>
      </c>
      <c r="L7" s="73">
        <f t="shared" ref="L7" si="4">AVERAGE(K7:K11)</f>
        <v>5.7657407407418762E-5</v>
      </c>
      <c r="M7" s="63" t="s">
        <v>68</v>
      </c>
      <c r="N7" s="66" t="s">
        <v>19</v>
      </c>
      <c r="O7" s="77">
        <f t="shared" ref="O7" si="5">COUNTIF(N7:N11,"Yes")/5</f>
        <v>1</v>
      </c>
      <c r="P7" s="67"/>
      <c r="Q7" t="s">
        <v>81</v>
      </c>
      <c r="R7" t="s">
        <v>82</v>
      </c>
      <c r="S7" s="86">
        <f t="shared" si="0"/>
        <v>15</v>
      </c>
    </row>
    <row r="8" spans="1:22" x14ac:dyDescent="0.25">
      <c r="A8" s="40"/>
      <c r="B8" s="41">
        <v>2</v>
      </c>
      <c r="C8" s="9" t="str">
        <f>CONCATENATE(A7,".",B8)</f>
        <v>2.2</v>
      </c>
      <c r="D8" s="25"/>
      <c r="E8" s="7"/>
      <c r="F8" s="6" t="s">
        <v>91</v>
      </c>
      <c r="G8" s="84">
        <f>FuzzyMatch(UPPER(E7),UPPER(F8))/100</f>
        <v>1</v>
      </c>
      <c r="H8" s="20"/>
      <c r="I8" s="53" t="str">
        <f t="shared" si="1"/>
        <v>13:54:06.382</v>
      </c>
      <c r="J8" s="54" t="str">
        <f t="shared" si="2"/>
        <v>13:54:10.407</v>
      </c>
      <c r="K8" s="46">
        <f>J8-I8</f>
        <v>4.6585648148189662E-5</v>
      </c>
      <c r="L8" s="74"/>
      <c r="M8" s="7"/>
      <c r="N8" s="17" t="s">
        <v>19</v>
      </c>
      <c r="O8" s="26"/>
      <c r="P8" s="41"/>
      <c r="Q8" t="s">
        <v>83</v>
      </c>
      <c r="R8" t="s">
        <v>84</v>
      </c>
      <c r="S8" s="86">
        <f t="shared" si="0"/>
        <v>15</v>
      </c>
    </row>
    <row r="9" spans="1:22" x14ac:dyDescent="0.25">
      <c r="A9" s="40"/>
      <c r="B9" s="41">
        <v>3</v>
      </c>
      <c r="C9" s="9" t="str">
        <f>CONCATENATE(A7,".",B9)</f>
        <v>2.3</v>
      </c>
      <c r="D9" s="25"/>
      <c r="E9" s="7"/>
      <c r="F9" s="6" t="s">
        <v>91</v>
      </c>
      <c r="G9" s="84">
        <f>FuzzyMatch(UPPER(E7),UPPER(F9))/100</f>
        <v>1</v>
      </c>
      <c r="H9" s="20"/>
      <c r="I9" s="53" t="str">
        <f t="shared" si="1"/>
        <v>13:54:15.439</v>
      </c>
      <c r="J9" s="54" t="str">
        <f t="shared" si="2"/>
        <v>13:54:19.090</v>
      </c>
      <c r="K9" s="46">
        <f>J9-I9</f>
        <v>4.2256944444374334E-5</v>
      </c>
      <c r="L9" s="74"/>
      <c r="M9" s="7"/>
      <c r="N9" s="17" t="s">
        <v>19</v>
      </c>
      <c r="O9" s="26"/>
      <c r="P9" s="41"/>
      <c r="Q9" t="s">
        <v>85</v>
      </c>
      <c r="R9" t="s">
        <v>86</v>
      </c>
      <c r="S9" s="86">
        <f t="shared" si="0"/>
        <v>15</v>
      </c>
    </row>
    <row r="10" spans="1:22" x14ac:dyDescent="0.25">
      <c r="A10" s="40"/>
      <c r="B10" s="41">
        <v>4</v>
      </c>
      <c r="C10" s="9" t="str">
        <f>CONCATENATE(A7,".",B10)</f>
        <v>2.4</v>
      </c>
      <c r="D10" s="25"/>
      <c r="E10" s="7"/>
      <c r="F10" s="6" t="s">
        <v>91</v>
      </c>
      <c r="G10" s="84">
        <f>FuzzyMatch(UPPER(E7),UPPER(F10))/100</f>
        <v>1</v>
      </c>
      <c r="H10" s="20"/>
      <c r="I10" s="53" t="str">
        <f t="shared" si="1"/>
        <v>13:54:23.381</v>
      </c>
      <c r="J10" s="54" t="str">
        <f t="shared" si="2"/>
        <v>13:54:27.320</v>
      </c>
      <c r="K10" s="46">
        <f>J10-I10</f>
        <v>4.5590277777840527E-5</v>
      </c>
      <c r="L10" s="74"/>
      <c r="M10" s="7"/>
      <c r="N10" s="17" t="s">
        <v>19</v>
      </c>
      <c r="O10" s="26"/>
      <c r="P10" s="41"/>
      <c r="Q10" t="s">
        <v>87</v>
      </c>
      <c r="R10" t="s">
        <v>88</v>
      </c>
      <c r="S10" s="86">
        <f t="shared" si="0"/>
        <v>15</v>
      </c>
    </row>
    <row r="11" spans="1:22" x14ac:dyDescent="0.25">
      <c r="A11" s="42"/>
      <c r="B11" s="30">
        <v>5</v>
      </c>
      <c r="C11" s="31" t="str">
        <f>CONCATENATE(A7,".",B11)</f>
        <v>2.5</v>
      </c>
      <c r="D11" s="68"/>
      <c r="E11" s="43"/>
      <c r="F11" s="32" t="s">
        <v>91</v>
      </c>
      <c r="G11" s="85">
        <f>FuzzyMatch(UPPER(E7),UPPER(F11))/100</f>
        <v>1</v>
      </c>
      <c r="H11" s="44"/>
      <c r="I11" s="51" t="str">
        <f t="shared" si="1"/>
        <v>13:54:31.349</v>
      </c>
      <c r="J11" s="52" t="str">
        <f t="shared" si="2"/>
        <v>13:54:35.711</v>
      </c>
      <c r="K11" s="47">
        <f>J11-I11</f>
        <v>5.0486111111136545E-5</v>
      </c>
      <c r="L11" s="75"/>
      <c r="M11" s="43"/>
      <c r="N11" s="11" t="s">
        <v>19</v>
      </c>
      <c r="O11" s="78"/>
      <c r="P11" s="30"/>
      <c r="Q11" t="s">
        <v>89</v>
      </c>
      <c r="R11" t="s">
        <v>90</v>
      </c>
      <c r="S11" s="86">
        <f t="shared" si="0"/>
        <v>15</v>
      </c>
    </row>
    <row r="12" spans="1:22" ht="15" customHeight="1" x14ac:dyDescent="0.25">
      <c r="A12" s="40">
        <v>3</v>
      </c>
      <c r="B12" s="41">
        <v>1</v>
      </c>
      <c r="C12" s="9" t="str">
        <f>CONCATENATE(A12,".",B12)</f>
        <v>3.1</v>
      </c>
      <c r="D12" s="25" t="s">
        <v>24</v>
      </c>
      <c r="E12" s="63" t="s">
        <v>27</v>
      </c>
      <c r="F12" s="70" t="s">
        <v>93</v>
      </c>
      <c r="G12" s="83">
        <f t="shared" ref="G12" si="6">FuzzyMatch(UPPER(E12),UPPER(F12))/100</f>
        <v>0.62</v>
      </c>
      <c r="H12" s="65">
        <f t="shared" ref="H12" si="7">AVERAGE(G12:G16)</f>
        <v>0.92400000000000004</v>
      </c>
      <c r="I12" s="61" t="str">
        <f t="shared" si="1"/>
        <v>13:57:00.041</v>
      </c>
      <c r="J12" s="62" t="str">
        <f t="shared" si="2"/>
        <v>13:57:04.758</v>
      </c>
      <c r="K12" s="72">
        <f>J12-I12</f>
        <v>5.4594907407445881E-5</v>
      </c>
      <c r="L12" s="73">
        <f t="shared" ref="L12" si="8">AVERAGE(K12:K16)</f>
        <v>5.1648148148175643E-5</v>
      </c>
      <c r="M12" s="63" t="s">
        <v>68</v>
      </c>
      <c r="N12" s="66" t="s">
        <v>19</v>
      </c>
      <c r="O12" s="77">
        <f t="shared" ref="O12" si="9">COUNTIF(N12:N16,"Yes")/5</f>
        <v>1</v>
      </c>
      <c r="P12" s="67"/>
      <c r="Q12" t="s">
        <v>94</v>
      </c>
      <c r="R12" t="s">
        <v>95</v>
      </c>
      <c r="S12" s="86">
        <f t="shared" si="0"/>
        <v>13</v>
      </c>
    </row>
    <row r="13" spans="1:22" x14ac:dyDescent="0.25">
      <c r="A13" s="40"/>
      <c r="B13" s="41">
        <v>2</v>
      </c>
      <c r="C13" s="9" t="str">
        <f>CONCATENATE(A12,".",B13)</f>
        <v>3.2</v>
      </c>
      <c r="D13" s="25"/>
      <c r="E13" s="7"/>
      <c r="F13" s="6" t="s">
        <v>92</v>
      </c>
      <c r="G13" s="84">
        <f t="shared" ref="G13" si="10">FuzzyMatch(UPPER(E12),UPPER(F13))/100</f>
        <v>1</v>
      </c>
      <c r="H13" s="20"/>
      <c r="I13" s="53" t="str">
        <f t="shared" si="1"/>
        <v>13:57:08.915</v>
      </c>
      <c r="J13" s="54" t="str">
        <f t="shared" si="2"/>
        <v>13:57:14.246</v>
      </c>
      <c r="K13" s="46">
        <f>J13-I13</f>
        <v>6.1701388888946163E-5</v>
      </c>
      <c r="L13" s="74"/>
      <c r="M13" s="7"/>
      <c r="N13" s="17" t="s">
        <v>19</v>
      </c>
      <c r="O13" s="26"/>
      <c r="P13" s="41"/>
      <c r="Q13" t="s">
        <v>96</v>
      </c>
      <c r="R13" t="s">
        <v>97</v>
      </c>
      <c r="S13" s="86">
        <f t="shared" si="0"/>
        <v>16</v>
      </c>
    </row>
    <row r="14" spans="1:22" x14ac:dyDescent="0.25">
      <c r="A14" s="40"/>
      <c r="B14" s="41">
        <v>3</v>
      </c>
      <c r="C14" s="9" t="str">
        <f>CONCATENATE(A12,".",B14)</f>
        <v>3.3</v>
      </c>
      <c r="D14" s="25"/>
      <c r="E14" s="7"/>
      <c r="F14" s="6" t="s">
        <v>92</v>
      </c>
      <c r="G14" s="84">
        <f t="shared" ref="G14" si="11">FuzzyMatch(UPPER(E12),UPPER(F14))/100</f>
        <v>1</v>
      </c>
      <c r="H14" s="20"/>
      <c r="I14" s="53" t="str">
        <f t="shared" si="1"/>
        <v>13:57:18.632</v>
      </c>
      <c r="J14" s="54" t="str">
        <f t="shared" si="2"/>
        <v>13:57:22.159</v>
      </c>
      <c r="K14" s="46">
        <f>J14-I14</f>
        <v>4.0821759259235257E-5</v>
      </c>
      <c r="L14" s="74"/>
      <c r="M14" s="7"/>
      <c r="N14" s="17" t="s">
        <v>19</v>
      </c>
      <c r="O14" s="26"/>
      <c r="P14" s="41"/>
      <c r="Q14" t="s">
        <v>98</v>
      </c>
      <c r="R14" t="s">
        <v>99</v>
      </c>
      <c r="S14" s="86">
        <f t="shared" si="0"/>
        <v>16</v>
      </c>
    </row>
    <row r="15" spans="1:22" x14ac:dyDescent="0.25">
      <c r="A15" s="40"/>
      <c r="B15" s="41">
        <v>4</v>
      </c>
      <c r="C15" s="9" t="str">
        <f>CONCATENATE(A12,".",B15)</f>
        <v>3.4</v>
      </c>
      <c r="D15" s="25"/>
      <c r="E15" s="7"/>
      <c r="F15" s="6" t="s">
        <v>92</v>
      </c>
      <c r="G15" s="84">
        <f t="shared" ref="G15" si="12">FuzzyMatch(UPPER(E12),UPPER(F15))/100</f>
        <v>1</v>
      </c>
      <c r="H15" s="20"/>
      <c r="I15" s="53" t="str">
        <f t="shared" si="1"/>
        <v>13:57:26.001</v>
      </c>
      <c r="J15" s="54" t="str">
        <f t="shared" si="2"/>
        <v>13:57:30.982</v>
      </c>
      <c r="K15" s="46">
        <f>J15-I15</f>
        <v>5.7650462963021454E-5</v>
      </c>
      <c r="L15" s="74"/>
      <c r="M15" s="7"/>
      <c r="N15" s="17" t="s">
        <v>19</v>
      </c>
      <c r="O15" s="26"/>
      <c r="P15" s="41"/>
      <c r="Q15" t="s">
        <v>100</v>
      </c>
      <c r="R15" t="s">
        <v>101</v>
      </c>
      <c r="S15" s="86">
        <f t="shared" si="0"/>
        <v>16</v>
      </c>
    </row>
    <row r="16" spans="1:22" x14ac:dyDescent="0.25">
      <c r="A16" s="42"/>
      <c r="B16" s="30">
        <v>5</v>
      </c>
      <c r="C16" s="31" t="str">
        <f>CONCATENATE(A12,".",B16)</f>
        <v>3.5</v>
      </c>
      <c r="D16" s="68"/>
      <c r="E16" s="43"/>
      <c r="F16" s="32" t="s">
        <v>92</v>
      </c>
      <c r="G16" s="85">
        <f t="shared" ref="G16" si="13">FuzzyMatch(UPPER(E12),UPPER(F16))/100</f>
        <v>1</v>
      </c>
      <c r="H16" s="44"/>
      <c r="I16" s="51" t="str">
        <f t="shared" si="1"/>
        <v>13:57:35.023</v>
      </c>
      <c r="J16" s="52" t="str">
        <f t="shared" si="2"/>
        <v>13:57:38.779</v>
      </c>
      <c r="K16" s="47">
        <f>J16-I16</f>
        <v>4.3472222222229462E-5</v>
      </c>
      <c r="L16" s="75"/>
      <c r="M16" s="43"/>
      <c r="N16" s="11" t="s">
        <v>19</v>
      </c>
      <c r="O16" s="78"/>
      <c r="P16" s="30"/>
      <c r="Q16" t="s">
        <v>102</v>
      </c>
      <c r="R16" t="s">
        <v>103</v>
      </c>
      <c r="S16" s="86">
        <f t="shared" si="0"/>
        <v>16</v>
      </c>
    </row>
    <row r="17" spans="1:19" ht="15" customHeight="1" x14ac:dyDescent="0.25">
      <c r="A17" s="40">
        <v>4</v>
      </c>
      <c r="B17" s="41">
        <v>1</v>
      </c>
      <c r="C17" s="9" t="str">
        <f t="shared" ref="C17" si="14">CONCATENATE(A17,".",B17)</f>
        <v>4.1</v>
      </c>
      <c r="D17" s="25" t="s">
        <v>24</v>
      </c>
      <c r="E17" s="63" t="s">
        <v>28</v>
      </c>
      <c r="F17" s="70" t="s">
        <v>104</v>
      </c>
      <c r="G17" s="83">
        <f t="shared" ref="G17" si="15">FuzzyMatch(UPPER(E17),UPPER(F17))/100</f>
        <v>1</v>
      </c>
      <c r="H17" s="65">
        <f t="shared" ref="H17" si="16">AVERAGE(G17:G21)</f>
        <v>1</v>
      </c>
      <c r="I17" s="61" t="str">
        <f t="shared" si="1"/>
        <v>13:59:42.356</v>
      </c>
      <c r="J17" s="62" t="str">
        <f t="shared" si="2"/>
        <v>13:59:46.729</v>
      </c>
      <c r="K17" s="72">
        <f>J17-I17</f>
        <v>5.0613425925938316E-5</v>
      </c>
      <c r="L17" s="73">
        <f t="shared" ref="L17" si="17">AVERAGE(K17:K21)</f>
        <v>4.6627314814817741E-5</v>
      </c>
      <c r="M17" s="63" t="s">
        <v>45</v>
      </c>
      <c r="N17" s="66" t="s">
        <v>19</v>
      </c>
      <c r="O17" s="77">
        <f t="shared" ref="O17" si="18">COUNTIF(N17:N21,"Yes")/5</f>
        <v>1</v>
      </c>
      <c r="P17" s="67"/>
      <c r="Q17" t="s">
        <v>105</v>
      </c>
      <c r="R17" t="s">
        <v>106</v>
      </c>
      <c r="S17" s="86">
        <f t="shared" si="0"/>
        <v>14</v>
      </c>
    </row>
    <row r="18" spans="1:19" x14ac:dyDescent="0.25">
      <c r="A18" s="40"/>
      <c r="B18" s="41">
        <v>2</v>
      </c>
      <c r="C18" s="9" t="str">
        <f t="shared" ref="C18" si="19">CONCATENATE(A17,".",B18)</f>
        <v>4.2</v>
      </c>
      <c r="D18" s="25"/>
      <c r="E18" s="7"/>
      <c r="F18" s="6" t="s">
        <v>104</v>
      </c>
      <c r="G18" s="84">
        <f t="shared" ref="G18" si="20">FuzzyMatch(UPPER(E17),UPPER(F18))/100</f>
        <v>1</v>
      </c>
      <c r="H18" s="20"/>
      <c r="I18" s="53" t="str">
        <f t="shared" si="1"/>
        <v>13:59:50.613</v>
      </c>
      <c r="J18" s="54" t="str">
        <f t="shared" si="2"/>
        <v>13:59:55.028</v>
      </c>
      <c r="K18" s="46">
        <f>J18-I18</f>
        <v>5.1099537036969345E-5</v>
      </c>
      <c r="L18" s="74"/>
      <c r="M18" s="7"/>
      <c r="N18" s="17" t="s">
        <v>19</v>
      </c>
      <c r="O18" s="26"/>
      <c r="P18" s="41"/>
      <c r="Q18" t="s">
        <v>107</v>
      </c>
      <c r="R18" t="s">
        <v>108</v>
      </c>
      <c r="S18" s="86">
        <f t="shared" si="0"/>
        <v>14</v>
      </c>
    </row>
    <row r="19" spans="1:19" x14ac:dyDescent="0.25">
      <c r="A19" s="40"/>
      <c r="B19" s="41">
        <v>3</v>
      </c>
      <c r="C19" s="9" t="str">
        <f t="shared" ref="C19" si="21">CONCATENATE(A17,".",B19)</f>
        <v>4.3</v>
      </c>
      <c r="D19" s="25"/>
      <c r="E19" s="7"/>
      <c r="F19" s="6" t="s">
        <v>104</v>
      </c>
      <c r="G19" s="84">
        <f t="shared" ref="G19" si="22">FuzzyMatch(UPPER(E17),UPPER(F19))/100</f>
        <v>1</v>
      </c>
      <c r="H19" s="20"/>
      <c r="I19" s="53" t="str">
        <f t="shared" si="1"/>
        <v>13:59:57.759</v>
      </c>
      <c r="J19" s="54" t="str">
        <f t="shared" si="2"/>
        <v>14:00:02.231</v>
      </c>
      <c r="K19" s="46">
        <f>J19-I19</f>
        <v>5.1759259259265278E-5</v>
      </c>
      <c r="L19" s="74"/>
      <c r="M19" s="7"/>
      <c r="N19" s="17" t="s">
        <v>19</v>
      </c>
      <c r="O19" s="26"/>
      <c r="P19" s="41"/>
      <c r="Q19" t="s">
        <v>109</v>
      </c>
      <c r="R19" t="s">
        <v>110</v>
      </c>
      <c r="S19" s="86">
        <f t="shared" si="0"/>
        <v>14</v>
      </c>
    </row>
    <row r="20" spans="1:19" x14ac:dyDescent="0.25">
      <c r="A20" s="40"/>
      <c r="B20" s="41">
        <v>4</v>
      </c>
      <c r="C20" s="9" t="str">
        <f t="shared" ref="C20" si="23">CONCATENATE(A17,".",B20)</f>
        <v>4.4</v>
      </c>
      <c r="D20" s="25"/>
      <c r="E20" s="7"/>
      <c r="F20" s="6" t="s">
        <v>104</v>
      </c>
      <c r="G20" s="84">
        <f t="shared" ref="G20" si="24">FuzzyMatch(UPPER(E17),UPPER(F20))/100</f>
        <v>1</v>
      </c>
      <c r="H20" s="20"/>
      <c r="I20" s="53" t="str">
        <f t="shared" si="1"/>
        <v>14:00:04.692</v>
      </c>
      <c r="J20" s="54" t="str">
        <f t="shared" si="2"/>
        <v>14:00:08.042</v>
      </c>
      <c r="K20" s="46">
        <f>J20-I20</f>
        <v>3.8773148148152359E-5</v>
      </c>
      <c r="L20" s="74"/>
      <c r="M20" s="7"/>
      <c r="N20" s="17" t="s">
        <v>19</v>
      </c>
      <c r="O20" s="26"/>
      <c r="P20" s="41"/>
      <c r="Q20" t="s">
        <v>111</v>
      </c>
      <c r="R20" t="s">
        <v>112</v>
      </c>
      <c r="S20" s="86">
        <f t="shared" si="0"/>
        <v>14</v>
      </c>
    </row>
    <row r="21" spans="1:19" x14ac:dyDescent="0.25">
      <c r="A21" s="42"/>
      <c r="B21" s="30">
        <v>5</v>
      </c>
      <c r="C21" s="31" t="str">
        <f t="shared" ref="C21" si="25">CONCATENATE(A17,".",B21)</f>
        <v>4.5</v>
      </c>
      <c r="D21" s="68"/>
      <c r="E21" s="43"/>
      <c r="F21" s="32" t="s">
        <v>104</v>
      </c>
      <c r="G21" s="85">
        <f t="shared" ref="G21" si="26">FuzzyMatch(UPPER(E17),UPPER(F21))/100</f>
        <v>1</v>
      </c>
      <c r="H21" s="44"/>
      <c r="I21" s="51" t="str">
        <f t="shared" si="1"/>
        <v>14:00:10.771</v>
      </c>
      <c r="J21" s="52" t="str">
        <f t="shared" si="2"/>
        <v>14:00:14.304</v>
      </c>
      <c r="K21" s="47">
        <f>J21-I21</f>
        <v>4.0891203703763424E-5</v>
      </c>
      <c r="L21" s="75"/>
      <c r="M21" s="43"/>
      <c r="N21" s="11" t="s">
        <v>19</v>
      </c>
      <c r="O21" s="78"/>
      <c r="P21" s="30"/>
      <c r="Q21" t="s">
        <v>113</v>
      </c>
      <c r="R21" t="s">
        <v>114</v>
      </c>
      <c r="S21" s="86">
        <f t="shared" si="0"/>
        <v>14</v>
      </c>
    </row>
    <row r="22" spans="1:19" ht="15" customHeight="1" x14ac:dyDescent="0.25">
      <c r="A22" s="40">
        <v>5</v>
      </c>
      <c r="B22" s="41">
        <v>1</v>
      </c>
      <c r="C22" s="9" t="str">
        <f t="shared" ref="C22" si="27">CONCATENATE(A22,".",B22)</f>
        <v>5.1</v>
      </c>
      <c r="D22" s="25" t="s">
        <v>24</v>
      </c>
      <c r="E22" s="63" t="s">
        <v>29</v>
      </c>
      <c r="F22" s="70" t="s">
        <v>115</v>
      </c>
      <c r="G22" s="83">
        <f t="shared" ref="G22" si="28">FuzzyMatch(UPPER(E22),UPPER(F22))/100</f>
        <v>1</v>
      </c>
      <c r="H22" s="65">
        <f t="shared" ref="H22" si="29">AVERAGE(G22:G26)</f>
        <v>0.90999999999999992</v>
      </c>
      <c r="I22" s="61" t="str">
        <f t="shared" si="1"/>
        <v>14:02:17.000</v>
      </c>
      <c r="J22" s="62" t="str">
        <f t="shared" si="2"/>
        <v>14:02:20.602</v>
      </c>
      <c r="K22" s="72">
        <f>J22-I22</f>
        <v>4.1689814814893644E-5</v>
      </c>
      <c r="L22" s="73">
        <f t="shared" ref="L22" si="30">AVERAGE(K22:K26)</f>
        <v>3.4210648148169656E-5</v>
      </c>
      <c r="M22" s="63" t="s">
        <v>46</v>
      </c>
      <c r="N22" s="66" t="s">
        <v>19</v>
      </c>
      <c r="O22" s="77">
        <f t="shared" ref="O22" si="31">COUNTIF(N22:N26,"Yes")/5</f>
        <v>0.6</v>
      </c>
      <c r="P22" s="67"/>
      <c r="Q22" t="s">
        <v>119</v>
      </c>
      <c r="R22" t="s">
        <v>120</v>
      </c>
      <c r="S22" s="86">
        <f t="shared" si="0"/>
        <v>11</v>
      </c>
    </row>
    <row r="23" spans="1:19" x14ac:dyDescent="0.25">
      <c r="A23" s="40"/>
      <c r="B23" s="41">
        <v>2</v>
      </c>
      <c r="C23" s="9" t="str">
        <f t="shared" ref="C23" si="32">CONCATENATE(A22,".",B23)</f>
        <v>5.2</v>
      </c>
      <c r="D23" s="25"/>
      <c r="E23" s="7"/>
      <c r="F23" s="6" t="s">
        <v>116</v>
      </c>
      <c r="G23" s="84">
        <f t="shared" ref="G23" si="33">FuzzyMatch(UPPER(E22),UPPER(F23))/100</f>
        <v>0.82</v>
      </c>
      <c r="H23" s="20"/>
      <c r="I23" s="53" t="str">
        <f t="shared" si="1"/>
        <v>14:02:23.669</v>
      </c>
      <c r="J23" s="54" t="str">
        <f t="shared" si="2"/>
        <v>14:02:26.415</v>
      </c>
      <c r="K23" s="46">
        <f>J23-I23</f>
        <v>3.1782407407421331E-5</v>
      </c>
      <c r="L23" s="74"/>
      <c r="M23" s="7"/>
      <c r="N23" s="17" t="s">
        <v>20</v>
      </c>
      <c r="O23" s="26"/>
      <c r="P23" s="41"/>
      <c r="Q23" t="s">
        <v>121</v>
      </c>
      <c r="R23" t="s">
        <v>122</v>
      </c>
      <c r="S23" s="86">
        <f t="shared" si="0"/>
        <v>11</v>
      </c>
    </row>
    <row r="24" spans="1:19" x14ac:dyDescent="0.25">
      <c r="A24" s="40"/>
      <c r="B24" s="41">
        <v>3</v>
      </c>
      <c r="C24" s="9" t="str">
        <f t="shared" ref="C24" si="34">CONCATENATE(A22,".",B24)</f>
        <v>5.3</v>
      </c>
      <c r="D24" s="25"/>
      <c r="E24" s="7"/>
      <c r="F24" s="6" t="s">
        <v>115</v>
      </c>
      <c r="G24" s="84">
        <f t="shared" ref="G24" si="35">FuzzyMatch(UPPER(E22),UPPER(F24))/100</f>
        <v>1</v>
      </c>
      <c r="H24" s="20"/>
      <c r="I24" s="53" t="str">
        <f t="shared" si="1"/>
        <v>14:02:32.086</v>
      </c>
      <c r="J24" s="54" t="str">
        <f t="shared" si="2"/>
        <v>14:02:34.973</v>
      </c>
      <c r="K24" s="46">
        <f>J24-I24</f>
        <v>3.3414351851890345E-5</v>
      </c>
      <c r="L24" s="74"/>
      <c r="M24" s="7"/>
      <c r="N24" s="17" t="s">
        <v>19</v>
      </c>
      <c r="O24" s="26"/>
      <c r="P24" s="41"/>
      <c r="Q24" t="s">
        <v>126</v>
      </c>
      <c r="R24" t="s">
        <v>123</v>
      </c>
      <c r="S24" s="86">
        <f t="shared" si="0"/>
        <v>11</v>
      </c>
    </row>
    <row r="25" spans="1:19" x14ac:dyDescent="0.25">
      <c r="A25" s="40"/>
      <c r="B25" s="41">
        <v>4</v>
      </c>
      <c r="C25" s="9" t="str">
        <f t="shared" ref="C25" si="36">CONCATENATE(A22,".",B25)</f>
        <v>5.4</v>
      </c>
      <c r="D25" s="25"/>
      <c r="E25" s="7"/>
      <c r="F25" s="6" t="s">
        <v>115</v>
      </c>
      <c r="G25" s="84">
        <f t="shared" ref="G25" si="37">FuzzyMatch(UPPER(E22),UPPER(F25))/100</f>
        <v>1</v>
      </c>
      <c r="H25" s="20"/>
      <c r="I25" s="53" t="str">
        <f t="shared" si="1"/>
        <v>14:02:37.402</v>
      </c>
      <c r="J25" s="54" t="str">
        <f t="shared" si="2"/>
        <v>14:02:40.262</v>
      </c>
      <c r="K25" s="46">
        <f>J25-I25</f>
        <v>3.3101851851791153E-5</v>
      </c>
      <c r="L25" s="74"/>
      <c r="M25" s="7"/>
      <c r="N25" s="17" t="s">
        <v>19</v>
      </c>
      <c r="O25" s="26"/>
      <c r="P25" s="41"/>
      <c r="Q25" t="s">
        <v>125</v>
      </c>
      <c r="R25" t="s">
        <v>124</v>
      </c>
      <c r="S25" s="86">
        <f t="shared" si="0"/>
        <v>11</v>
      </c>
    </row>
    <row r="26" spans="1:19" x14ac:dyDescent="0.25">
      <c r="A26" s="42"/>
      <c r="B26" s="30">
        <v>5</v>
      </c>
      <c r="C26" s="31" t="str">
        <f t="shared" ref="C26" si="38">CONCATENATE(A22,".",B26)</f>
        <v>5.5</v>
      </c>
      <c r="D26" s="68"/>
      <c r="E26" s="43"/>
      <c r="F26" s="32" t="s">
        <v>117</v>
      </c>
      <c r="G26" s="85">
        <f t="shared" ref="G26" si="39">FuzzyMatch(UPPER(E22),UPPER(F26))/100</f>
        <v>0.73</v>
      </c>
      <c r="H26" s="44"/>
      <c r="I26" s="51" t="str">
        <f t="shared" si="1"/>
        <v>14:02:43.049</v>
      </c>
      <c r="J26" s="52" t="str">
        <f t="shared" si="2"/>
        <v>14:02:45.733</v>
      </c>
      <c r="K26" s="47">
        <f>J26-I26</f>
        <v>3.1064814814851793E-5</v>
      </c>
      <c r="L26" s="75"/>
      <c r="M26" s="43"/>
      <c r="N26" s="11" t="s">
        <v>20</v>
      </c>
      <c r="O26" s="78"/>
      <c r="P26" s="30"/>
      <c r="Q26" t="s">
        <v>127</v>
      </c>
      <c r="R26" t="s">
        <v>128</v>
      </c>
      <c r="S26" s="86">
        <f t="shared" si="0"/>
        <v>13</v>
      </c>
    </row>
    <row r="27" spans="1:19" ht="15" customHeight="1" x14ac:dyDescent="0.25">
      <c r="A27" s="40">
        <v>6</v>
      </c>
      <c r="B27" s="41">
        <v>1</v>
      </c>
      <c r="C27" s="9" t="str">
        <f t="shared" ref="C27" si="40">CONCATENATE(A27,".",B27)</f>
        <v>6.1</v>
      </c>
      <c r="D27" s="25" t="s">
        <v>24</v>
      </c>
      <c r="E27" s="63" t="s">
        <v>30</v>
      </c>
      <c r="F27" s="70" t="s">
        <v>131</v>
      </c>
      <c r="G27" s="83">
        <f t="shared" ref="G27" si="41">FuzzyMatch(UPPER(E27),UPPER(F27))/100</f>
        <v>1</v>
      </c>
      <c r="H27" s="65">
        <f t="shared" ref="H27" si="42">AVERAGE(G27:G31)</f>
        <v>1</v>
      </c>
      <c r="I27" s="61" t="str">
        <f t="shared" si="1"/>
        <v>14:07:10.075</v>
      </c>
      <c r="J27" s="62" t="str">
        <f t="shared" si="2"/>
        <v>14:07:14.012</v>
      </c>
      <c r="K27" s="72">
        <f>J27-I27</f>
        <v>4.5567129629664471E-5</v>
      </c>
      <c r="L27" s="73">
        <f t="shared" ref="L27" si="43">AVERAGE(K27:K31)</f>
        <v>3.852314814813962E-5</v>
      </c>
      <c r="M27" s="63" t="s">
        <v>46</v>
      </c>
      <c r="N27" s="66" t="s">
        <v>19</v>
      </c>
      <c r="O27" s="77">
        <f t="shared" ref="O27" si="44">COUNTIF(N27:N31,"Yes")/5</f>
        <v>1</v>
      </c>
      <c r="P27" s="67"/>
      <c r="Q27" t="s">
        <v>132</v>
      </c>
      <c r="R27" t="s">
        <v>133</v>
      </c>
      <c r="S27" s="86">
        <f t="shared" si="0"/>
        <v>17</v>
      </c>
    </row>
    <row r="28" spans="1:19" x14ac:dyDescent="0.25">
      <c r="A28" s="40"/>
      <c r="B28" s="41">
        <v>2</v>
      </c>
      <c r="C28" s="9" t="str">
        <f t="shared" ref="C28" si="45">CONCATENATE(A27,".",B28)</f>
        <v>6.2</v>
      </c>
      <c r="D28" s="25"/>
      <c r="E28" s="7"/>
      <c r="F28" s="6" t="s">
        <v>131</v>
      </c>
      <c r="G28" s="84">
        <f t="shared" ref="G28" si="46">FuzzyMatch(UPPER(E27),UPPER(F28))/100</f>
        <v>1</v>
      </c>
      <c r="H28" s="20"/>
      <c r="I28" s="53" t="str">
        <f t="shared" si="1"/>
        <v>14:07:17.133</v>
      </c>
      <c r="J28" s="54" t="str">
        <f t="shared" si="2"/>
        <v>14:07:20.379</v>
      </c>
      <c r="K28" s="46">
        <f>J28-I28</f>
        <v>3.7569444444440769E-5</v>
      </c>
      <c r="L28" s="74"/>
      <c r="M28" s="7"/>
      <c r="N28" s="17" t="s">
        <v>19</v>
      </c>
      <c r="O28" s="26"/>
      <c r="P28" s="41"/>
      <c r="Q28" t="s">
        <v>134</v>
      </c>
      <c r="R28" t="s">
        <v>135</v>
      </c>
      <c r="S28" s="86">
        <f t="shared" si="0"/>
        <v>17</v>
      </c>
    </row>
    <row r="29" spans="1:19" x14ac:dyDescent="0.25">
      <c r="A29" s="40"/>
      <c r="B29" s="41">
        <v>3</v>
      </c>
      <c r="C29" s="9" t="str">
        <f t="shared" ref="C29" si="47">CONCATENATE(A27,".",B29)</f>
        <v>6.3</v>
      </c>
      <c r="D29" s="25"/>
      <c r="E29" s="7"/>
      <c r="F29" s="6" t="s">
        <v>131</v>
      </c>
      <c r="G29" s="84">
        <f t="shared" ref="G29" si="48">FuzzyMatch(UPPER(E27),UPPER(F29))/100</f>
        <v>1</v>
      </c>
      <c r="H29" s="20"/>
      <c r="I29" s="53" t="str">
        <f t="shared" si="1"/>
        <v>14:07:22.918</v>
      </c>
      <c r="J29" s="54" t="str">
        <f t="shared" si="2"/>
        <v>14:07:26.133</v>
      </c>
      <c r="K29" s="46">
        <f>J29-I29</f>
        <v>3.7210648148100489E-5</v>
      </c>
      <c r="L29" s="74"/>
      <c r="M29" s="7"/>
      <c r="N29" s="17" t="s">
        <v>19</v>
      </c>
      <c r="O29" s="26"/>
      <c r="P29" s="41"/>
      <c r="Q29" t="s">
        <v>136</v>
      </c>
      <c r="R29" t="s">
        <v>137</v>
      </c>
      <c r="S29" s="86">
        <f t="shared" si="0"/>
        <v>17</v>
      </c>
    </row>
    <row r="30" spans="1:19" x14ac:dyDescent="0.25">
      <c r="A30" s="40"/>
      <c r="B30" s="41">
        <v>4</v>
      </c>
      <c r="C30" s="9" t="str">
        <f t="shared" ref="C30" si="49">CONCATENATE(A27,".",B30)</f>
        <v>6.4</v>
      </c>
      <c r="D30" s="25"/>
      <c r="E30" s="7"/>
      <c r="F30" s="6" t="s">
        <v>131</v>
      </c>
      <c r="G30" s="84">
        <f t="shared" ref="G30" si="50">FuzzyMatch(UPPER(E27),UPPER(F30))/100</f>
        <v>1</v>
      </c>
      <c r="H30" s="20"/>
      <c r="I30" s="53" t="str">
        <f t="shared" si="1"/>
        <v>14:07:28.612</v>
      </c>
      <c r="J30" s="54" t="str">
        <f t="shared" si="2"/>
        <v>14:07:31.791</v>
      </c>
      <c r="K30" s="46">
        <f>J30-I30</f>
        <v>3.6793981481486604E-5</v>
      </c>
      <c r="L30" s="74"/>
      <c r="M30" s="7"/>
      <c r="N30" s="17" t="s">
        <v>19</v>
      </c>
      <c r="O30" s="26"/>
      <c r="P30" s="41"/>
      <c r="Q30" t="s">
        <v>138</v>
      </c>
      <c r="R30" t="s">
        <v>139</v>
      </c>
      <c r="S30" s="86">
        <f t="shared" si="0"/>
        <v>17</v>
      </c>
    </row>
    <row r="31" spans="1:19" x14ac:dyDescent="0.25">
      <c r="A31" s="42"/>
      <c r="B31" s="30">
        <v>5</v>
      </c>
      <c r="C31" s="31" t="str">
        <f t="shared" ref="C31" si="51">CONCATENATE(A27,".",B31)</f>
        <v>6.5</v>
      </c>
      <c r="D31" s="68"/>
      <c r="E31" s="43"/>
      <c r="F31" s="32" t="s">
        <v>131</v>
      </c>
      <c r="G31" s="85">
        <f t="shared" ref="G31" si="52">FuzzyMatch(UPPER(E27),UPPER(F31))/100</f>
        <v>1</v>
      </c>
      <c r="H31" s="44"/>
      <c r="I31" s="51" t="str">
        <f t="shared" si="1"/>
        <v>14:07:34.420</v>
      </c>
      <c r="J31" s="52" t="str">
        <f t="shared" si="2"/>
        <v>14:07:37.485</v>
      </c>
      <c r="K31" s="47">
        <f>J31-I31</f>
        <v>3.547453703700576E-5</v>
      </c>
      <c r="L31" s="75"/>
      <c r="M31" s="43"/>
      <c r="N31" s="11" t="s">
        <v>19</v>
      </c>
      <c r="O31" s="78"/>
      <c r="P31" s="30"/>
      <c r="Q31" t="s">
        <v>140</v>
      </c>
      <c r="R31" t="s">
        <v>141</v>
      </c>
      <c r="S31" s="86">
        <f t="shared" si="0"/>
        <v>17</v>
      </c>
    </row>
    <row r="32" spans="1:19" ht="15" customHeight="1" x14ac:dyDescent="0.25">
      <c r="A32" s="40">
        <v>7</v>
      </c>
      <c r="B32" s="41">
        <v>1</v>
      </c>
      <c r="C32" s="9" t="str">
        <f t="shared" ref="C32" si="53">CONCATENATE(A32,".",B32)</f>
        <v>7.1</v>
      </c>
      <c r="D32" s="25" t="s">
        <v>24</v>
      </c>
      <c r="E32" s="63" t="s">
        <v>31</v>
      </c>
      <c r="F32" s="70" t="s">
        <v>142</v>
      </c>
      <c r="G32" s="83">
        <f t="shared" ref="G32" si="54">FuzzyMatch(UPPER(E32),UPPER(F32))/100</f>
        <v>1</v>
      </c>
      <c r="H32" s="65">
        <f t="shared" ref="H32" si="55">AVERAGE(G32:G36)</f>
        <v>0.96</v>
      </c>
      <c r="I32" s="61" t="str">
        <f t="shared" si="1"/>
        <v>14:09:41.891</v>
      </c>
      <c r="J32" s="62" t="str">
        <f t="shared" si="2"/>
        <v>14:09:46.063</v>
      </c>
      <c r="K32" s="72">
        <f>J32-I32</f>
        <v>4.828703703707582E-5</v>
      </c>
      <c r="L32" s="73">
        <f t="shared" ref="L32" si="56">AVERAGE(K32:K36)</f>
        <v>4.2736111111119077E-5</v>
      </c>
      <c r="M32" s="63" t="s">
        <v>47</v>
      </c>
      <c r="N32" s="66" t="s">
        <v>19</v>
      </c>
      <c r="O32" s="77">
        <f t="shared" ref="O32" si="57">COUNTIF(N32:N36,"Yes")/5</f>
        <v>1</v>
      </c>
      <c r="P32" s="67"/>
      <c r="Q32" t="s">
        <v>144</v>
      </c>
      <c r="R32" t="s">
        <v>145</v>
      </c>
      <c r="S32" s="86">
        <f t="shared" si="0"/>
        <v>15</v>
      </c>
    </row>
    <row r="33" spans="1:19" x14ac:dyDescent="0.25">
      <c r="A33" s="40"/>
      <c r="B33" s="41">
        <v>2</v>
      </c>
      <c r="C33" s="9" t="str">
        <f t="shared" ref="C33" si="58">CONCATENATE(A32,".",B33)</f>
        <v>7.2</v>
      </c>
      <c r="D33" s="25"/>
      <c r="E33" s="7"/>
      <c r="F33" s="6" t="s">
        <v>142</v>
      </c>
      <c r="G33" s="84">
        <f t="shared" ref="G33" si="59">FuzzyMatch(UPPER(E32),UPPER(F33))/100</f>
        <v>1</v>
      </c>
      <c r="H33" s="20"/>
      <c r="I33" s="53" t="str">
        <f t="shared" si="1"/>
        <v>14:09:55.382</v>
      </c>
      <c r="J33" s="54" t="str">
        <f t="shared" si="2"/>
        <v>14:09:59.309</v>
      </c>
      <c r="K33" s="46">
        <f>J33-I33</f>
        <v>4.5451388888895217E-5</v>
      </c>
      <c r="L33" s="74"/>
      <c r="M33" s="7"/>
      <c r="N33" s="17" t="s">
        <v>19</v>
      </c>
      <c r="O33" s="26"/>
      <c r="P33" s="41"/>
      <c r="Q33" t="s">
        <v>146</v>
      </c>
      <c r="R33" t="s">
        <v>147</v>
      </c>
      <c r="S33" s="86">
        <f t="shared" si="0"/>
        <v>15</v>
      </c>
    </row>
    <row r="34" spans="1:19" x14ac:dyDescent="0.25">
      <c r="A34" s="40"/>
      <c r="B34" s="41">
        <v>3</v>
      </c>
      <c r="C34" s="9" t="str">
        <f t="shared" ref="C34" si="60">CONCATENATE(A32,".",B34)</f>
        <v>7.3</v>
      </c>
      <c r="D34" s="25"/>
      <c r="E34" s="7"/>
      <c r="F34" s="6" t="s">
        <v>142</v>
      </c>
      <c r="G34" s="84">
        <f t="shared" ref="G34" si="61">FuzzyMatch(UPPER(E32),UPPER(F34))/100</f>
        <v>1</v>
      </c>
      <c r="H34" s="20"/>
      <c r="I34" s="53" t="str">
        <f t="shared" si="1"/>
        <v>14:10:08.422</v>
      </c>
      <c r="J34" s="54" t="str">
        <f t="shared" si="2"/>
        <v>14:10:11.924</v>
      </c>
      <c r="K34" s="46">
        <f>J34-I34</f>
        <v>4.0532407407423143E-5</v>
      </c>
      <c r="L34" s="74"/>
      <c r="M34" s="7"/>
      <c r="N34" s="17" t="s">
        <v>19</v>
      </c>
      <c r="O34" s="26"/>
      <c r="P34" s="41"/>
      <c r="Q34" t="s">
        <v>148</v>
      </c>
      <c r="R34" t="s">
        <v>149</v>
      </c>
      <c r="S34" s="86">
        <f t="shared" si="0"/>
        <v>15</v>
      </c>
    </row>
    <row r="35" spans="1:19" x14ac:dyDescent="0.25">
      <c r="A35" s="40"/>
      <c r="B35" s="41">
        <v>4</v>
      </c>
      <c r="C35" s="9" t="str">
        <f t="shared" ref="C35" si="62">CONCATENATE(A32,".",B35)</f>
        <v>7.4</v>
      </c>
      <c r="D35" s="25"/>
      <c r="E35" s="7"/>
      <c r="F35" s="6" t="s">
        <v>142</v>
      </c>
      <c r="G35" s="84">
        <f t="shared" ref="G35" si="63">FuzzyMatch(UPPER(E32),UPPER(F35))/100</f>
        <v>1</v>
      </c>
      <c r="H35" s="20"/>
      <c r="I35" s="53" t="str">
        <f t="shared" si="1"/>
        <v>14:10:21.326</v>
      </c>
      <c r="J35" s="54" t="str">
        <f t="shared" si="2"/>
        <v>14:10:24.513</v>
      </c>
      <c r="K35" s="46">
        <f>J35-I35</f>
        <v>3.6886574074079803E-5</v>
      </c>
      <c r="L35" s="74"/>
      <c r="M35" s="7"/>
      <c r="N35" s="17" t="s">
        <v>19</v>
      </c>
      <c r="O35" s="26"/>
      <c r="P35" s="41"/>
      <c r="Q35" t="s">
        <v>150</v>
      </c>
      <c r="R35" t="s">
        <v>151</v>
      </c>
      <c r="S35" s="86">
        <f t="shared" si="0"/>
        <v>15</v>
      </c>
    </row>
    <row r="36" spans="1:19" x14ac:dyDescent="0.25">
      <c r="A36" s="42"/>
      <c r="B36" s="30">
        <v>5</v>
      </c>
      <c r="C36" s="31" t="str">
        <f t="shared" ref="C36" si="64">CONCATENATE(A32,".",B36)</f>
        <v>7.5</v>
      </c>
      <c r="D36" s="68"/>
      <c r="E36" s="43"/>
      <c r="F36" s="32" t="s">
        <v>143</v>
      </c>
      <c r="G36" s="85">
        <f t="shared" ref="G36" si="65">FuzzyMatch(UPPER(E32),UPPER(F36))/100</f>
        <v>0.8</v>
      </c>
      <c r="H36" s="44"/>
      <c r="I36" s="51" t="str">
        <f t="shared" si="1"/>
        <v>14:10:35.166</v>
      </c>
      <c r="J36" s="52" t="str">
        <f t="shared" si="2"/>
        <v>14:10:38.840</v>
      </c>
      <c r="K36" s="47">
        <f>J36-I36</f>
        <v>4.2523148148121415E-5</v>
      </c>
      <c r="L36" s="75"/>
      <c r="M36" s="43"/>
      <c r="N36" s="11" t="s">
        <v>19</v>
      </c>
      <c r="O36" s="78"/>
      <c r="P36" s="30"/>
      <c r="Q36" t="s">
        <v>152</v>
      </c>
      <c r="R36" t="s">
        <v>153</v>
      </c>
      <c r="S36" s="86">
        <f t="shared" si="0"/>
        <v>14</v>
      </c>
    </row>
    <row r="37" spans="1:19" ht="15" customHeight="1" x14ac:dyDescent="0.25">
      <c r="A37" s="40">
        <v>8</v>
      </c>
      <c r="B37" s="41">
        <v>1</v>
      </c>
      <c r="C37" s="9" t="str">
        <f t="shared" ref="C37" si="66">CONCATENATE(A37,".",B37)</f>
        <v>8.1</v>
      </c>
      <c r="D37" s="25" t="s">
        <v>24</v>
      </c>
      <c r="E37" s="63" t="s">
        <v>9</v>
      </c>
      <c r="F37" s="70" t="s">
        <v>155</v>
      </c>
      <c r="G37" s="83">
        <f t="shared" ref="G37" si="67">FuzzyMatch(UPPER(E37),UPPER(F37))/100</f>
        <v>1</v>
      </c>
      <c r="H37" s="65">
        <f t="shared" ref="H37" si="68">AVERAGE(G37:G41)</f>
        <v>0.90399999999999991</v>
      </c>
      <c r="I37" s="61" t="str">
        <f t="shared" si="1"/>
        <v>14:12:54.348</v>
      </c>
      <c r="J37" s="62" t="str">
        <f t="shared" si="2"/>
        <v>14:12:58.867</v>
      </c>
      <c r="K37" s="72">
        <f>J37-I37</f>
        <v>5.2303240740791956E-5</v>
      </c>
      <c r="L37" s="73">
        <f t="shared" ref="L37" si="69">AVERAGE(K37:K41)</f>
        <v>4.8407407407413672E-5</v>
      </c>
      <c r="M37" s="63" t="s">
        <v>67</v>
      </c>
      <c r="N37" s="66" t="s">
        <v>19</v>
      </c>
      <c r="O37" s="77">
        <f t="shared" ref="O37" si="70">COUNTIF(N37:N41,"Yes")/5</f>
        <v>1</v>
      </c>
      <c r="P37" s="67"/>
      <c r="Q37" t="s">
        <v>154</v>
      </c>
      <c r="R37" t="s">
        <v>156</v>
      </c>
      <c r="S37" s="86">
        <f t="shared" si="0"/>
        <v>17</v>
      </c>
    </row>
    <row r="38" spans="1:19" x14ac:dyDescent="0.25">
      <c r="A38" s="40"/>
      <c r="B38" s="41">
        <v>2</v>
      </c>
      <c r="C38" s="9" t="str">
        <f t="shared" ref="C38" si="71">CONCATENATE(A37,".",B38)</f>
        <v>8.2</v>
      </c>
      <c r="D38" s="25"/>
      <c r="E38" s="7"/>
      <c r="F38" s="6" t="s">
        <v>158</v>
      </c>
      <c r="G38" s="84">
        <f t="shared" ref="G38" si="72">FuzzyMatch(UPPER(E37),UPPER(F38))/100</f>
        <v>0.94</v>
      </c>
      <c r="H38" s="20"/>
      <c r="I38" s="53" t="str">
        <f t="shared" si="1"/>
        <v>14:13:12.061</v>
      </c>
      <c r="J38" s="54" t="str">
        <f t="shared" si="2"/>
        <v>14:13:15.589</v>
      </c>
      <c r="K38" s="46">
        <f>J38-I38</f>
        <v>4.0833333333378796E-5</v>
      </c>
      <c r="L38" s="74"/>
      <c r="M38" s="7"/>
      <c r="N38" s="17" t="s">
        <v>19</v>
      </c>
      <c r="O38" s="26"/>
      <c r="P38" s="41"/>
      <c r="Q38" t="s">
        <v>157</v>
      </c>
      <c r="R38" t="s">
        <v>159</v>
      </c>
      <c r="S38" s="86">
        <f t="shared" si="0"/>
        <v>17</v>
      </c>
    </row>
    <row r="39" spans="1:19" x14ac:dyDescent="0.25">
      <c r="A39" s="40"/>
      <c r="B39" s="41">
        <v>3</v>
      </c>
      <c r="C39" s="9" t="str">
        <f t="shared" ref="C39" si="73">CONCATENATE(A37,".",B39)</f>
        <v>8.3</v>
      </c>
      <c r="D39" s="25"/>
      <c r="E39" s="7"/>
      <c r="F39" s="6" t="s">
        <v>158</v>
      </c>
      <c r="G39" s="84">
        <f t="shared" ref="G39" si="74">FuzzyMatch(UPPER(E37),UPPER(F39))/100</f>
        <v>0.94</v>
      </c>
      <c r="H39" s="20"/>
      <c r="I39" s="53" t="str">
        <f t="shared" si="1"/>
        <v>14:13:26.961</v>
      </c>
      <c r="J39" s="54" t="str">
        <f t="shared" si="2"/>
        <v>14:13:30.570</v>
      </c>
      <c r="K39" s="46">
        <f>J39-I39</f>
        <v>4.1770833333343305E-5</v>
      </c>
      <c r="L39" s="74"/>
      <c r="M39" s="7"/>
      <c r="N39" s="17" t="s">
        <v>19</v>
      </c>
      <c r="O39" s="26"/>
      <c r="P39" s="41"/>
      <c r="Q39" t="s">
        <v>160</v>
      </c>
      <c r="R39" t="s">
        <v>161</v>
      </c>
      <c r="S39" s="86">
        <f t="shared" si="0"/>
        <v>17</v>
      </c>
    </row>
    <row r="40" spans="1:19" x14ac:dyDescent="0.25">
      <c r="A40" s="40"/>
      <c r="B40" s="41">
        <v>4</v>
      </c>
      <c r="C40" s="9" t="str">
        <f t="shared" ref="C40" si="75">CONCATENATE(A37,".",B40)</f>
        <v>8.4</v>
      </c>
      <c r="D40" s="25"/>
      <c r="E40" s="7"/>
      <c r="F40" s="6" t="s">
        <v>162</v>
      </c>
      <c r="G40" s="84">
        <f t="shared" ref="G40" si="76">FuzzyMatch(UPPER(E37),UPPER(F40))/100</f>
        <v>0.82</v>
      </c>
      <c r="H40" s="20"/>
      <c r="I40" s="53" t="str">
        <f t="shared" si="1"/>
        <v>14:13:43.221</v>
      </c>
      <c r="J40" s="54" t="str">
        <f t="shared" si="2"/>
        <v>14:13:46.734</v>
      </c>
      <c r="K40" s="46">
        <f>J40-I40</f>
        <v>4.0659722222224914E-5</v>
      </c>
      <c r="L40" s="74"/>
      <c r="M40" s="7"/>
      <c r="N40" s="17" t="s">
        <v>19</v>
      </c>
      <c r="O40" s="26"/>
      <c r="P40" s="41"/>
      <c r="Q40" t="s">
        <v>163</v>
      </c>
      <c r="R40" t="s">
        <v>164</v>
      </c>
      <c r="S40" s="86">
        <f t="shared" si="0"/>
        <v>18</v>
      </c>
    </row>
    <row r="41" spans="1:19" x14ac:dyDescent="0.25">
      <c r="A41" s="42"/>
      <c r="B41" s="30">
        <v>5</v>
      </c>
      <c r="C41" s="31" t="str">
        <f t="shared" ref="C41" si="77">CONCATENATE(A37,".",B41)</f>
        <v>8.5</v>
      </c>
      <c r="D41" s="68"/>
      <c r="E41" s="43"/>
      <c r="F41" s="32" t="s">
        <v>162</v>
      </c>
      <c r="G41" s="85">
        <f t="shared" ref="G41" si="78">FuzzyMatch(UPPER(E37),UPPER(F41))/100</f>
        <v>0.82</v>
      </c>
      <c r="H41" s="44"/>
      <c r="I41" s="51" t="str">
        <f t="shared" si="1"/>
        <v>14:14:05.396</v>
      </c>
      <c r="J41" s="52" t="str">
        <f t="shared" si="2"/>
        <v>14:14:11.139</v>
      </c>
      <c r="K41" s="47">
        <f>J41-I41</f>
        <v>6.6469907407329387E-5</v>
      </c>
      <c r="L41" s="75"/>
      <c r="M41" s="43"/>
      <c r="N41" s="11" t="s">
        <v>19</v>
      </c>
      <c r="O41" s="78"/>
      <c r="P41" s="30"/>
      <c r="Q41" t="s">
        <v>165</v>
      </c>
      <c r="R41" t="s">
        <v>166</v>
      </c>
      <c r="S41" s="86">
        <f t="shared" si="0"/>
        <v>18</v>
      </c>
    </row>
    <row r="42" spans="1:19" ht="15" customHeight="1" x14ac:dyDescent="0.25">
      <c r="A42" s="40">
        <v>9</v>
      </c>
      <c r="B42" s="41">
        <v>1</v>
      </c>
      <c r="C42" s="9" t="str">
        <f t="shared" ref="C42" si="79">CONCATENATE(A42,".",B42)</f>
        <v>9.1</v>
      </c>
      <c r="D42" s="25" t="s">
        <v>24</v>
      </c>
      <c r="E42" s="63" t="s">
        <v>10</v>
      </c>
      <c r="F42" s="70" t="s">
        <v>177</v>
      </c>
      <c r="G42" s="83">
        <f t="shared" ref="G42" si="80">FuzzyMatch(UPPER(E42),UPPER(F42))/100</f>
        <v>1</v>
      </c>
      <c r="H42" s="65">
        <f t="shared" ref="H42" si="81">AVERAGE(G42:G46)</f>
        <v>0.98599999999999999</v>
      </c>
      <c r="I42" s="61" t="str">
        <f t="shared" si="1"/>
        <v>14:17:07.986</v>
      </c>
      <c r="J42" s="62" t="str">
        <f t="shared" si="2"/>
        <v>14:17:11.474</v>
      </c>
      <c r="K42" s="72">
        <f>J42-I42</f>
        <v>4.03703703704128E-5</v>
      </c>
      <c r="L42" s="73">
        <f t="shared" ref="L42" si="82">AVERAGE(K42:K46)</f>
        <v>4.7395833333330194E-5</v>
      </c>
      <c r="M42" s="63" t="s">
        <v>67</v>
      </c>
      <c r="N42" s="66" t="s">
        <v>19</v>
      </c>
      <c r="O42" s="77">
        <f t="shared" ref="O42" si="83">COUNTIF(N42:N46,"Yes")/5</f>
        <v>1</v>
      </c>
      <c r="P42" s="67"/>
      <c r="Q42" t="s">
        <v>167</v>
      </c>
      <c r="R42" t="s">
        <v>168</v>
      </c>
      <c r="S42" s="86">
        <f t="shared" si="0"/>
        <v>14</v>
      </c>
    </row>
    <row r="43" spans="1:19" x14ac:dyDescent="0.25">
      <c r="A43" s="40"/>
      <c r="B43" s="41">
        <v>2</v>
      </c>
      <c r="C43" s="9" t="str">
        <f t="shared" ref="C43" si="84">CONCATENATE(A42,".",B43)</f>
        <v>9.2</v>
      </c>
      <c r="D43" s="25"/>
      <c r="E43" s="7"/>
      <c r="F43" s="6" t="s">
        <v>177</v>
      </c>
      <c r="G43" s="84">
        <f t="shared" ref="G43" si="85">FuzzyMatch(UPPER(E42),UPPER(F43))/100</f>
        <v>1</v>
      </c>
      <c r="H43" s="20"/>
      <c r="I43" s="53" t="str">
        <f t="shared" si="1"/>
        <v>14:17:23.013</v>
      </c>
      <c r="J43" s="54" t="str">
        <f t="shared" si="2"/>
        <v>14:17:26.227</v>
      </c>
      <c r="K43" s="46">
        <f>J43-I43</f>
        <v>3.7199074074067973E-5</v>
      </c>
      <c r="L43" s="74"/>
      <c r="M43" s="7"/>
      <c r="N43" s="17" t="s">
        <v>19</v>
      </c>
      <c r="O43" s="26"/>
      <c r="P43" s="41"/>
      <c r="Q43" t="s">
        <v>169</v>
      </c>
      <c r="R43" t="s">
        <v>170</v>
      </c>
      <c r="S43" s="86">
        <f t="shared" si="0"/>
        <v>14</v>
      </c>
    </row>
    <row r="44" spans="1:19" x14ac:dyDescent="0.25">
      <c r="A44" s="40"/>
      <c r="B44" s="41">
        <v>3</v>
      </c>
      <c r="C44" s="9" t="str">
        <f t="shared" ref="C44" si="86">CONCATENATE(A42,".",B44)</f>
        <v>9.3</v>
      </c>
      <c r="D44" s="25"/>
      <c r="E44" s="7"/>
      <c r="F44" s="6" t="s">
        <v>177</v>
      </c>
      <c r="G44" s="84">
        <f t="shared" ref="G44" si="87">FuzzyMatch(UPPER(E42),UPPER(F44))/100</f>
        <v>1</v>
      </c>
      <c r="H44" s="20"/>
      <c r="I44" s="53" t="str">
        <f t="shared" si="1"/>
        <v>14:17:36.717</v>
      </c>
      <c r="J44" s="54" t="str">
        <f t="shared" si="2"/>
        <v>14:17:40.522</v>
      </c>
      <c r="K44" s="46">
        <f>J44-I44</f>
        <v>4.4039351851821174E-5</v>
      </c>
      <c r="L44" s="74"/>
      <c r="M44" s="7"/>
      <c r="N44" s="17" t="s">
        <v>19</v>
      </c>
      <c r="O44" s="26"/>
      <c r="P44" s="41"/>
      <c r="Q44" t="s">
        <v>171</v>
      </c>
      <c r="R44" t="s">
        <v>172</v>
      </c>
      <c r="S44" s="86">
        <f t="shared" si="0"/>
        <v>14</v>
      </c>
    </row>
    <row r="45" spans="1:19" x14ac:dyDescent="0.25">
      <c r="A45" s="40"/>
      <c r="B45" s="41">
        <v>4</v>
      </c>
      <c r="C45" s="9" t="str">
        <f t="shared" ref="C45" si="88">CONCATENATE(A42,".",B45)</f>
        <v>9.4</v>
      </c>
      <c r="D45" s="25"/>
      <c r="E45" s="7"/>
      <c r="F45" s="6" t="s">
        <v>178</v>
      </c>
      <c r="G45" s="84">
        <f t="shared" ref="G45" si="89">FuzzyMatch(UPPER(E42),UPPER(F45))/100</f>
        <v>0.93</v>
      </c>
      <c r="H45" s="20"/>
      <c r="I45" s="53" t="str">
        <f t="shared" si="1"/>
        <v>14:17:52.697</v>
      </c>
      <c r="J45" s="54" t="str">
        <f t="shared" si="2"/>
        <v>14:17:56.525</v>
      </c>
      <c r="K45" s="46">
        <f>J45-I45</f>
        <v>4.4305555555457232E-5</v>
      </c>
      <c r="L45" s="74"/>
      <c r="M45" s="7"/>
      <c r="N45" s="17" t="s">
        <v>19</v>
      </c>
      <c r="O45" s="26"/>
      <c r="P45" s="41"/>
      <c r="Q45" t="s">
        <v>173</v>
      </c>
      <c r="R45" t="s">
        <v>174</v>
      </c>
      <c r="S45" s="86">
        <f t="shared" si="0"/>
        <v>13</v>
      </c>
    </row>
    <row r="46" spans="1:19" x14ac:dyDescent="0.25">
      <c r="A46" s="42"/>
      <c r="B46" s="30">
        <v>5</v>
      </c>
      <c r="C46" s="31" t="str">
        <f t="shared" ref="C46" si="90">CONCATENATE(A42,".",B46)</f>
        <v>9.5</v>
      </c>
      <c r="D46" s="68"/>
      <c r="E46" s="43"/>
      <c r="F46" s="32" t="s">
        <v>177</v>
      </c>
      <c r="G46" s="85">
        <f t="shared" ref="G46" si="91">FuzzyMatch(UPPER(E42),UPPER(F46))/100</f>
        <v>1</v>
      </c>
      <c r="H46" s="44"/>
      <c r="I46" s="51" t="str">
        <f t="shared" si="1"/>
        <v>14:18:15.809</v>
      </c>
      <c r="J46" s="52" t="str">
        <f t="shared" si="2"/>
        <v>14:18:21.949</v>
      </c>
      <c r="K46" s="47">
        <f>J46-I46</f>
        <v>7.1064814814891797E-5</v>
      </c>
      <c r="L46" s="75"/>
      <c r="M46" s="43"/>
      <c r="N46" s="11" t="s">
        <v>19</v>
      </c>
      <c r="O46" s="78"/>
      <c r="P46" s="30"/>
      <c r="Q46" t="s">
        <v>175</v>
      </c>
      <c r="R46" t="s">
        <v>176</v>
      </c>
      <c r="S46" s="86">
        <f t="shared" si="0"/>
        <v>14</v>
      </c>
    </row>
    <row r="47" spans="1:19" x14ac:dyDescent="0.25">
      <c r="A47" s="40">
        <v>10</v>
      </c>
      <c r="B47" s="41">
        <v>1</v>
      </c>
      <c r="C47" s="9" t="str">
        <f t="shared" ref="C47" si="92">CONCATENATE(A47,".",B47)</f>
        <v>10.1</v>
      </c>
      <c r="D47" s="25" t="s">
        <v>24</v>
      </c>
      <c r="E47" s="63" t="s">
        <v>11</v>
      </c>
      <c r="F47" s="70" t="s">
        <v>189</v>
      </c>
      <c r="G47" s="83">
        <f t="shared" ref="G47" si="93">FuzzyMatch(UPPER(E47),UPPER(F47))/100</f>
        <v>1</v>
      </c>
      <c r="H47" s="65">
        <f t="shared" ref="H47" si="94">AVERAGE(G47:G51)</f>
        <v>1</v>
      </c>
      <c r="I47" s="61" t="str">
        <f t="shared" si="1"/>
        <v>14:20:58.625</v>
      </c>
      <c r="J47" s="62" t="str">
        <f t="shared" si="2"/>
        <v>14:21:03.267</v>
      </c>
      <c r="K47" s="72">
        <f>J47-I47</f>
        <v>5.3726851851787494E-5</v>
      </c>
      <c r="L47" s="73">
        <f t="shared" ref="L47" si="95">AVERAGE(K47:K51)</f>
        <v>4.7405092592534007E-5</v>
      </c>
      <c r="M47" s="63" t="s">
        <v>67</v>
      </c>
      <c r="N47" s="66" t="s">
        <v>19</v>
      </c>
      <c r="O47" s="77">
        <f t="shared" ref="O47" si="96">COUNTIF(N47:N51,"Yes")/5</f>
        <v>1</v>
      </c>
      <c r="P47" s="67"/>
      <c r="Q47" t="s">
        <v>179</v>
      </c>
      <c r="R47" t="s">
        <v>180</v>
      </c>
      <c r="S47" s="86">
        <f t="shared" si="0"/>
        <v>19</v>
      </c>
    </row>
    <row r="48" spans="1:19" x14ac:dyDescent="0.25">
      <c r="A48" s="40"/>
      <c r="B48" s="41">
        <v>2</v>
      </c>
      <c r="C48" s="9" t="str">
        <f t="shared" ref="C48" si="97">CONCATENATE(A47,".",B48)</f>
        <v>10.2</v>
      </c>
      <c r="D48" s="25"/>
      <c r="E48" s="7"/>
      <c r="F48" s="6" t="s">
        <v>189</v>
      </c>
      <c r="G48" s="84">
        <f t="shared" ref="G48" si="98">FuzzyMatch(UPPER(E47),UPPER(F48))/100</f>
        <v>1</v>
      </c>
      <c r="H48" s="20"/>
      <c r="I48" s="53" t="str">
        <f t="shared" si="1"/>
        <v>14:21:15.122</v>
      </c>
      <c r="J48" s="54" t="str">
        <f t="shared" si="2"/>
        <v>14:21:19.171</v>
      </c>
      <c r="K48" s="46">
        <f>J48-I48</f>
        <v>4.6863425925858238E-5</v>
      </c>
      <c r="L48" s="74"/>
      <c r="M48" s="7"/>
      <c r="N48" s="17" t="s">
        <v>19</v>
      </c>
      <c r="O48" s="26"/>
      <c r="P48" s="41"/>
      <c r="Q48" t="s">
        <v>188</v>
      </c>
      <c r="R48" t="s">
        <v>187</v>
      </c>
      <c r="S48" s="86">
        <f t="shared" si="0"/>
        <v>19</v>
      </c>
    </row>
    <row r="49" spans="1:19" x14ac:dyDescent="0.25">
      <c r="A49" s="40"/>
      <c r="B49" s="41">
        <v>3</v>
      </c>
      <c r="C49" s="9" t="str">
        <f t="shared" ref="C49" si="99">CONCATENATE(A47,".",B49)</f>
        <v>10.3</v>
      </c>
      <c r="D49" s="25"/>
      <c r="E49" s="7"/>
      <c r="F49" s="6" t="s">
        <v>189</v>
      </c>
      <c r="G49" s="84">
        <f t="shared" ref="G49" si="100">FuzzyMatch(UPPER(E47),UPPER(F49))/100</f>
        <v>1</v>
      </c>
      <c r="H49" s="20"/>
      <c r="I49" s="53" t="str">
        <f t="shared" si="1"/>
        <v>14:21:32.277</v>
      </c>
      <c r="J49" s="54" t="str">
        <f t="shared" si="2"/>
        <v>14:21:36.652</v>
      </c>
      <c r="K49" s="46">
        <f>J49-I49</f>
        <v>5.0636574074003349E-5</v>
      </c>
      <c r="L49" s="74"/>
      <c r="M49" s="7"/>
      <c r="N49" s="17" t="s">
        <v>19</v>
      </c>
      <c r="O49" s="26"/>
      <c r="P49" s="41"/>
      <c r="Q49" t="s">
        <v>186</v>
      </c>
      <c r="R49" t="s">
        <v>185</v>
      </c>
      <c r="S49" s="86">
        <f t="shared" si="0"/>
        <v>19</v>
      </c>
    </row>
    <row r="50" spans="1:19" x14ac:dyDescent="0.25">
      <c r="A50" s="40"/>
      <c r="B50" s="41">
        <v>4</v>
      </c>
      <c r="C50" s="9" t="str">
        <f t="shared" ref="C50" si="101">CONCATENATE(A47,".",B50)</f>
        <v>10.4</v>
      </c>
      <c r="D50" s="25"/>
      <c r="E50" s="7"/>
      <c r="F50" s="6" t="s">
        <v>189</v>
      </c>
      <c r="G50" s="84">
        <f t="shared" ref="G50" si="102">FuzzyMatch(UPPER(E47),UPPER(F50))/100</f>
        <v>1</v>
      </c>
      <c r="H50" s="20"/>
      <c r="I50" s="53" t="str">
        <f t="shared" si="1"/>
        <v>14:21:48.434</v>
      </c>
      <c r="J50" s="54" t="str">
        <f t="shared" si="2"/>
        <v>14:21:52.173</v>
      </c>
      <c r="K50" s="46">
        <f>J50-I50</f>
        <v>4.3275462963010547E-5</v>
      </c>
      <c r="L50" s="74"/>
      <c r="M50" s="7"/>
      <c r="N50" s="17" t="s">
        <v>19</v>
      </c>
      <c r="O50" s="26"/>
      <c r="P50" s="41"/>
      <c r="Q50" t="s">
        <v>184</v>
      </c>
      <c r="R50" t="s">
        <v>183</v>
      </c>
      <c r="S50" s="86">
        <f t="shared" si="0"/>
        <v>19</v>
      </c>
    </row>
    <row r="51" spans="1:19" x14ac:dyDescent="0.25">
      <c r="A51" s="42"/>
      <c r="B51" s="30">
        <v>5</v>
      </c>
      <c r="C51" s="31" t="str">
        <f t="shared" ref="C51" si="103">CONCATENATE(A47,".",B51)</f>
        <v>10.5</v>
      </c>
      <c r="D51" s="68"/>
      <c r="E51" s="43"/>
      <c r="F51" s="32" t="s">
        <v>189</v>
      </c>
      <c r="G51" s="85">
        <f t="shared" ref="G51" si="104">FuzzyMatch(UPPER(E47),UPPER(F51))/100</f>
        <v>1</v>
      </c>
      <c r="H51" s="44"/>
      <c r="I51" s="51" t="str">
        <f t="shared" si="1"/>
        <v>14:22:03.770</v>
      </c>
      <c r="J51" s="52" t="str">
        <f t="shared" si="2"/>
        <v>14:22:07.444</v>
      </c>
      <c r="K51" s="47">
        <f>J51-I51</f>
        <v>4.2523148148010392E-5</v>
      </c>
      <c r="L51" s="75"/>
      <c r="M51" s="43"/>
      <c r="N51" s="11" t="s">
        <v>19</v>
      </c>
      <c r="O51" s="78"/>
      <c r="P51" s="30"/>
      <c r="Q51" t="s">
        <v>182</v>
      </c>
      <c r="R51" t="s">
        <v>181</v>
      </c>
      <c r="S51" s="86">
        <f t="shared" si="0"/>
        <v>19</v>
      </c>
    </row>
    <row r="52" spans="1:19" x14ac:dyDescent="0.25">
      <c r="A52" s="40">
        <v>11</v>
      </c>
      <c r="B52" s="41">
        <v>1</v>
      </c>
      <c r="C52" s="9" t="str">
        <f t="shared" ref="C52" si="105">CONCATENATE(A52,".",B52)</f>
        <v>11.1</v>
      </c>
      <c r="D52" s="25" t="s">
        <v>25</v>
      </c>
      <c r="E52" s="63" t="s">
        <v>14</v>
      </c>
      <c r="F52" s="70" t="s">
        <v>200</v>
      </c>
      <c r="G52" s="83">
        <f t="shared" ref="G52" si="106">FuzzyMatch(UPPER(E52),UPPER(F52))/100</f>
        <v>0.83</v>
      </c>
      <c r="H52" s="65">
        <f t="shared" ref="H52" si="107">AVERAGE(G52:G56)</f>
        <v>0.76600000000000001</v>
      </c>
      <c r="I52" s="61" t="str">
        <f t="shared" si="1"/>
        <v>14:25:01.295</v>
      </c>
      <c r="J52" s="62" t="str">
        <f t="shared" si="2"/>
        <v>14:25:04.937</v>
      </c>
      <c r="K52" s="72">
        <f>J52-I52</f>
        <v>4.2152777777748618E-5</v>
      </c>
      <c r="L52" s="73">
        <f t="shared" ref="L52" si="108">AVERAGE(K52:K56)</f>
        <v>4.0365740740710974E-5</v>
      </c>
      <c r="M52" s="63" t="s">
        <v>16</v>
      </c>
      <c r="N52" s="66" t="s">
        <v>19</v>
      </c>
      <c r="O52" s="77">
        <f t="shared" ref="O52" si="109">COUNTIF(N52:N56,"Yes")/5</f>
        <v>1</v>
      </c>
      <c r="P52" s="67"/>
      <c r="Q52" t="s">
        <v>190</v>
      </c>
      <c r="R52" t="s">
        <v>191</v>
      </c>
      <c r="S52" s="86">
        <f t="shared" si="0"/>
        <v>16</v>
      </c>
    </row>
    <row r="53" spans="1:19" x14ac:dyDescent="0.25">
      <c r="A53" s="40"/>
      <c r="B53" s="41">
        <v>2</v>
      </c>
      <c r="C53" s="9" t="str">
        <f t="shared" ref="C53" si="110">CONCATENATE(A52,".",B53)</f>
        <v>11.2</v>
      </c>
      <c r="D53" s="25"/>
      <c r="E53" s="7"/>
      <c r="F53" s="6" t="s">
        <v>201</v>
      </c>
      <c r="G53" s="84">
        <f t="shared" ref="G53" si="111">FuzzyMatch(UPPER(E52),UPPER(F53))/100</f>
        <v>1</v>
      </c>
      <c r="H53" s="20"/>
      <c r="I53" s="53" t="str">
        <f t="shared" si="1"/>
        <v>14:25:18.058</v>
      </c>
      <c r="J53" s="54" t="str">
        <f t="shared" si="2"/>
        <v>14:25:21.880</v>
      </c>
      <c r="K53" s="46">
        <f>J53-I53</f>
        <v>4.4236111111151111E-5</v>
      </c>
      <c r="L53" s="74"/>
      <c r="M53" s="7"/>
      <c r="N53" s="17" t="s">
        <v>19</v>
      </c>
      <c r="O53" s="26"/>
      <c r="P53" s="41"/>
      <c r="Q53" t="s">
        <v>192</v>
      </c>
      <c r="R53" t="s">
        <v>193</v>
      </c>
      <c r="S53" s="86">
        <f t="shared" si="0"/>
        <v>18</v>
      </c>
    </row>
    <row r="54" spans="1:19" x14ac:dyDescent="0.25">
      <c r="A54" s="40"/>
      <c r="B54" s="41">
        <v>3</v>
      </c>
      <c r="C54" s="9" t="str">
        <f t="shared" ref="C54" si="112">CONCATENATE(A52,".",B54)</f>
        <v>11.3</v>
      </c>
      <c r="D54" s="25"/>
      <c r="E54" s="7"/>
      <c r="F54" s="6" t="s">
        <v>201</v>
      </c>
      <c r="G54" s="84">
        <f t="shared" ref="G54" si="113">FuzzyMatch(UPPER(E52),UPPER(F54))/100</f>
        <v>1</v>
      </c>
      <c r="H54" s="20"/>
      <c r="I54" s="53" t="str">
        <f t="shared" ref="I54:I117" si="114">SUBSTITUTE(Q54,",",".")</f>
        <v>14:25:37.216</v>
      </c>
      <c r="J54" s="54" t="str">
        <f t="shared" ref="J54:J117" si="115">SUBSTITUTE(R54,",",".")</f>
        <v>14:25:40.664</v>
      </c>
      <c r="K54" s="46">
        <f>J54-I54</f>
        <v>3.9907407407335782E-5</v>
      </c>
      <c r="L54" s="74"/>
      <c r="M54" s="7"/>
      <c r="N54" s="17" t="s">
        <v>19</v>
      </c>
      <c r="O54" s="26"/>
      <c r="P54" s="41"/>
      <c r="Q54" t="s">
        <v>194</v>
      </c>
      <c r="R54" t="s">
        <v>195</v>
      </c>
      <c r="S54" s="86">
        <f t="shared" si="0"/>
        <v>18</v>
      </c>
    </row>
    <row r="55" spans="1:19" x14ac:dyDescent="0.25">
      <c r="A55" s="40"/>
      <c r="B55" s="41">
        <v>4</v>
      </c>
      <c r="C55" s="9" t="str">
        <f t="shared" ref="C55" si="116">CONCATENATE(A52,".",B55)</f>
        <v>11.4</v>
      </c>
      <c r="D55" s="25"/>
      <c r="E55" s="7"/>
      <c r="F55" s="6" t="s">
        <v>201</v>
      </c>
      <c r="G55" s="84">
        <f t="shared" ref="G55" si="117">FuzzyMatch(UPPER(E52),UPPER(F55))/100</f>
        <v>1</v>
      </c>
      <c r="H55" s="20"/>
      <c r="I55" s="53" t="str">
        <f t="shared" si="114"/>
        <v>14:25:53.212</v>
      </c>
      <c r="J55" s="54" t="str">
        <f t="shared" si="115"/>
        <v>14:25:56.560</v>
      </c>
      <c r="K55" s="46">
        <f>J55-I55</f>
        <v>3.8749999999865281E-5</v>
      </c>
      <c r="L55" s="74"/>
      <c r="M55" s="7"/>
      <c r="N55" s="17" t="s">
        <v>19</v>
      </c>
      <c r="O55" s="26"/>
      <c r="P55" s="41"/>
      <c r="Q55" t="s">
        <v>196</v>
      </c>
      <c r="R55" t="s">
        <v>197</v>
      </c>
      <c r="S55" s="86">
        <f t="shared" si="0"/>
        <v>18</v>
      </c>
    </row>
    <row r="56" spans="1:19" x14ac:dyDescent="0.25">
      <c r="A56" s="42"/>
      <c r="B56" s="30">
        <v>5</v>
      </c>
      <c r="C56" s="31" t="str">
        <f t="shared" ref="C56" si="118">CONCATENATE(A52,".",B56)</f>
        <v>11.5</v>
      </c>
      <c r="D56" s="68"/>
      <c r="E56" s="43"/>
      <c r="F56" s="32" t="s">
        <v>202</v>
      </c>
      <c r="G56" s="85">
        <f t="shared" ref="G56" si="119">FuzzyMatch(UPPER(E52),UPPER(F56))/100</f>
        <v>0</v>
      </c>
      <c r="H56" s="44"/>
      <c r="I56" s="51" t="str">
        <f t="shared" si="114"/>
        <v>14:26:12.370</v>
      </c>
      <c r="J56" s="52" t="str">
        <f t="shared" si="115"/>
        <v>14:26:15.548</v>
      </c>
      <c r="K56" s="47">
        <f>J56-I56</f>
        <v>3.6782407407454087E-5</v>
      </c>
      <c r="L56" s="75"/>
      <c r="M56" s="43"/>
      <c r="N56" s="11" t="s">
        <v>19</v>
      </c>
      <c r="O56" s="78"/>
      <c r="P56" s="30"/>
      <c r="Q56" t="s">
        <v>198</v>
      </c>
      <c r="R56" t="s">
        <v>199</v>
      </c>
      <c r="S56" s="86">
        <f t="shared" si="0"/>
        <v>13</v>
      </c>
    </row>
    <row r="57" spans="1:19" x14ac:dyDescent="0.25">
      <c r="A57" s="40">
        <v>12</v>
      </c>
      <c r="B57" s="41">
        <v>1</v>
      </c>
      <c r="C57" s="9" t="str">
        <f t="shared" ref="C57" si="120">CONCATENATE(A57,".",B57)</f>
        <v>12.1</v>
      </c>
      <c r="D57" s="25" t="s">
        <v>25</v>
      </c>
      <c r="E57" s="63" t="s">
        <v>15</v>
      </c>
      <c r="F57" s="70" t="s">
        <v>213</v>
      </c>
      <c r="G57" s="83">
        <f t="shared" ref="G57" si="121">FuzzyMatch(UPPER(E57),UPPER(F57))/100</f>
        <v>0.96</v>
      </c>
      <c r="H57" s="65">
        <f t="shared" ref="H57" si="122">AVERAGE(G57:G61)</f>
        <v>0.65400000000000003</v>
      </c>
      <c r="I57" s="61" t="str">
        <f t="shared" si="114"/>
        <v>14:28:57.744</v>
      </c>
      <c r="J57" s="62" t="str">
        <f t="shared" si="115"/>
        <v>14:29:02.141</v>
      </c>
      <c r="K57" s="72">
        <f>J57-I57</f>
        <v>5.0891203703717913E-5</v>
      </c>
      <c r="L57" s="73">
        <f t="shared" ref="L57" si="123">AVERAGE(K57:K61)</f>
        <v>5.4581018518562455E-5</v>
      </c>
      <c r="M57" s="63" t="s">
        <v>16</v>
      </c>
      <c r="N57" s="66" t="s">
        <v>19</v>
      </c>
      <c r="O57" s="77">
        <f t="shared" ref="O57" si="124">COUNTIF(N57:N61,"Yes")/5</f>
        <v>1</v>
      </c>
      <c r="P57" s="67"/>
      <c r="Q57" t="s">
        <v>203</v>
      </c>
      <c r="R57" t="s">
        <v>204</v>
      </c>
      <c r="S57" s="86">
        <f t="shared" si="0"/>
        <v>26</v>
      </c>
    </row>
    <row r="58" spans="1:19" x14ac:dyDescent="0.25">
      <c r="A58" s="40"/>
      <c r="B58" s="41">
        <v>2</v>
      </c>
      <c r="C58" s="9" t="str">
        <f t="shared" ref="C58" si="125">CONCATENATE(A57,".",B58)</f>
        <v>12.2</v>
      </c>
      <c r="D58" s="25"/>
      <c r="E58" s="7"/>
      <c r="F58" s="6" t="s">
        <v>214</v>
      </c>
      <c r="G58" s="84">
        <f t="shared" ref="G58" si="126">FuzzyMatch(UPPER(E57),UPPER(F58))/100</f>
        <v>0</v>
      </c>
      <c r="H58" s="20"/>
      <c r="I58" s="53" t="str">
        <f t="shared" si="114"/>
        <v>14:29:10.882</v>
      </c>
      <c r="J58" s="54" t="str">
        <f t="shared" si="115"/>
        <v>14:29:15.384</v>
      </c>
      <c r="K58" s="46">
        <f>J58-I58</f>
        <v>5.2106481481573041E-5</v>
      </c>
      <c r="L58" s="74"/>
      <c r="M58" s="7"/>
      <c r="N58" s="17" t="s">
        <v>19</v>
      </c>
      <c r="O58" s="26"/>
      <c r="P58" s="41"/>
      <c r="Q58" t="s">
        <v>205</v>
      </c>
      <c r="R58" t="s">
        <v>206</v>
      </c>
      <c r="S58" s="86">
        <f t="shared" si="0"/>
        <v>19</v>
      </c>
    </row>
    <row r="59" spans="1:19" x14ac:dyDescent="0.25">
      <c r="A59" s="40"/>
      <c r="B59" s="41">
        <v>3</v>
      </c>
      <c r="C59" s="9" t="str">
        <f t="shared" ref="C59" si="127">CONCATENATE(A57,".",B59)</f>
        <v>12.3</v>
      </c>
      <c r="D59" s="25"/>
      <c r="E59" s="7"/>
      <c r="F59" s="6" t="s">
        <v>215</v>
      </c>
      <c r="G59" s="84">
        <f t="shared" ref="G59" si="128">FuzzyMatch(UPPER(E57),UPPER(F59))/100</f>
        <v>0.88</v>
      </c>
      <c r="H59" s="20"/>
      <c r="I59" s="53" t="str">
        <f t="shared" si="114"/>
        <v>14:29:25.213</v>
      </c>
      <c r="J59" s="54" t="str">
        <f t="shared" si="115"/>
        <v>14:29:29.970</v>
      </c>
      <c r="K59" s="46">
        <f>J59-I59</f>
        <v>5.5057870370411877E-5</v>
      </c>
      <c r="L59" s="74"/>
      <c r="M59" s="7"/>
      <c r="N59" s="17" t="s">
        <v>19</v>
      </c>
      <c r="O59" s="26"/>
      <c r="P59" s="41"/>
      <c r="Q59" t="s">
        <v>207</v>
      </c>
      <c r="R59" t="s">
        <v>208</v>
      </c>
      <c r="S59" s="86">
        <f t="shared" si="0"/>
        <v>25</v>
      </c>
    </row>
    <row r="60" spans="1:19" x14ac:dyDescent="0.25">
      <c r="A60" s="40"/>
      <c r="B60" s="41">
        <v>4</v>
      </c>
      <c r="C60" s="9" t="str">
        <f t="shared" ref="C60" si="129">CONCATENATE(A57,".",B60)</f>
        <v>12.4</v>
      </c>
      <c r="D60" s="25"/>
      <c r="E60" s="7"/>
      <c r="F60" s="6" t="s">
        <v>216</v>
      </c>
      <c r="G60" s="84">
        <f t="shared" ref="G60" si="130">FuzzyMatch(UPPER(E57),UPPER(F60))/100</f>
        <v>0.62</v>
      </c>
      <c r="H60" s="20"/>
      <c r="I60" s="53" t="str">
        <f t="shared" si="114"/>
        <v>14:29:38.120</v>
      </c>
      <c r="J60" s="54" t="str">
        <f t="shared" si="115"/>
        <v>14:29:43.025</v>
      </c>
      <c r="K60" s="46">
        <f>J60-I60</f>
        <v>5.677083333333055E-5</v>
      </c>
      <c r="L60" s="74"/>
      <c r="M60" s="7"/>
      <c r="N60" s="17" t="s">
        <v>19</v>
      </c>
      <c r="O60" s="26"/>
      <c r="P60" s="41"/>
      <c r="Q60" t="s">
        <v>209</v>
      </c>
      <c r="R60" t="s">
        <v>210</v>
      </c>
      <c r="S60" s="86">
        <f t="shared" si="0"/>
        <v>22</v>
      </c>
    </row>
    <row r="61" spans="1:19" x14ac:dyDescent="0.25">
      <c r="A61" s="42"/>
      <c r="B61" s="30">
        <v>5</v>
      </c>
      <c r="C61" s="31" t="str">
        <f t="shared" ref="C61" si="131">CONCATENATE(A57,".",B61)</f>
        <v>12.5</v>
      </c>
      <c r="D61" s="68"/>
      <c r="E61" s="43"/>
      <c r="F61" s="32" t="s">
        <v>217</v>
      </c>
      <c r="G61" s="85">
        <f t="shared" ref="G61" si="132">FuzzyMatch(UPPER(E57),UPPER(F61))/100</f>
        <v>0.81</v>
      </c>
      <c r="H61" s="44"/>
      <c r="I61" s="51" t="str">
        <f t="shared" si="114"/>
        <v>14:29:50.615</v>
      </c>
      <c r="J61" s="52" t="str">
        <f t="shared" si="115"/>
        <v>14:29:55.633</v>
      </c>
      <c r="K61" s="47">
        <f>J61-I61</f>
        <v>5.8078703703778878E-5</v>
      </c>
      <c r="L61" s="75"/>
      <c r="M61" s="43"/>
      <c r="N61" s="11" t="s">
        <v>19</v>
      </c>
      <c r="O61" s="78"/>
      <c r="P61" s="30"/>
      <c r="Q61" t="s">
        <v>211</v>
      </c>
      <c r="R61" t="s">
        <v>212</v>
      </c>
      <c r="S61" s="86">
        <f t="shared" si="0"/>
        <v>26</v>
      </c>
    </row>
    <row r="62" spans="1:19" x14ac:dyDescent="0.25">
      <c r="A62" s="40">
        <v>13</v>
      </c>
      <c r="B62" s="41">
        <v>1</v>
      </c>
      <c r="C62" s="9" t="str">
        <f t="shared" ref="C62" si="133">CONCATENATE(A62,".",B62)</f>
        <v>13.1</v>
      </c>
      <c r="D62" s="25" t="s">
        <v>25</v>
      </c>
      <c r="E62" s="63" t="s">
        <v>32</v>
      </c>
      <c r="F62" s="70" t="s">
        <v>229</v>
      </c>
      <c r="G62" s="83">
        <f t="shared" ref="G62" si="134">FuzzyMatch(UPPER(E62),UPPER(F62))/100</f>
        <v>0.82</v>
      </c>
      <c r="H62" s="65">
        <f t="shared" ref="H62" si="135">AVERAGE(G62:G66)</f>
        <v>0.70399999999999996</v>
      </c>
      <c r="I62" s="61" t="str">
        <f t="shared" si="114"/>
        <v>14:32:52.424</v>
      </c>
      <c r="J62" s="62" t="str">
        <f t="shared" si="115"/>
        <v>14:32:56.123</v>
      </c>
      <c r="K62" s="72">
        <f>J62-I62</f>
        <v>4.2812499999933529E-5</v>
      </c>
      <c r="L62" s="73">
        <f t="shared" ref="L62" si="136">AVERAGE(K62:K66)</f>
        <v>4.2740740740732086E-5</v>
      </c>
      <c r="M62" s="63" t="s">
        <v>48</v>
      </c>
      <c r="N62" s="66" t="s">
        <v>20</v>
      </c>
      <c r="O62" s="77">
        <f t="shared" ref="O62" si="137">COUNTIF(N62:N66,"Yes")/5</f>
        <v>0.4</v>
      </c>
      <c r="P62" s="67"/>
      <c r="Q62" t="s">
        <v>218</v>
      </c>
      <c r="R62" t="s">
        <v>219</v>
      </c>
      <c r="S62" s="86">
        <f t="shared" si="0"/>
        <v>17</v>
      </c>
    </row>
    <row r="63" spans="1:19" x14ac:dyDescent="0.25">
      <c r="A63" s="40"/>
      <c r="B63" s="41">
        <v>2</v>
      </c>
      <c r="C63" s="9" t="str">
        <f t="shared" ref="C63" si="138">CONCATENATE(A62,".",B63)</f>
        <v>13.2</v>
      </c>
      <c r="D63" s="25"/>
      <c r="E63" s="7"/>
      <c r="F63" s="6" t="s">
        <v>230</v>
      </c>
      <c r="G63" s="84">
        <f t="shared" ref="G63" si="139">FuzzyMatch(UPPER(E62),UPPER(F63))/100</f>
        <v>0.94</v>
      </c>
      <c r="H63" s="20"/>
      <c r="I63" s="53" t="str">
        <f t="shared" si="114"/>
        <v>14:33:02.594</v>
      </c>
      <c r="J63" s="54" t="str">
        <f t="shared" si="115"/>
        <v>14:33:05.875</v>
      </c>
      <c r="K63" s="46">
        <f>J63-I63</f>
        <v>3.797453703713316E-5</v>
      </c>
      <c r="L63" s="74"/>
      <c r="M63" s="7"/>
      <c r="N63" s="17" t="s">
        <v>19</v>
      </c>
      <c r="O63" s="26"/>
      <c r="P63" s="41"/>
      <c r="Q63" t="s">
        <v>220</v>
      </c>
      <c r="R63" t="s">
        <v>221</v>
      </c>
      <c r="S63" s="86">
        <f t="shared" si="0"/>
        <v>17</v>
      </c>
    </row>
    <row r="64" spans="1:19" x14ac:dyDescent="0.25">
      <c r="A64" s="40"/>
      <c r="B64" s="41">
        <v>3</v>
      </c>
      <c r="C64" s="9" t="str">
        <f t="shared" ref="C64" si="140">CONCATENATE(A62,".",B64)</f>
        <v>13.3</v>
      </c>
      <c r="D64" s="25"/>
      <c r="E64" s="7"/>
      <c r="F64" s="6" t="s">
        <v>230</v>
      </c>
      <c r="G64" s="84">
        <f t="shared" ref="G64" si="141">FuzzyMatch(UPPER(E62),UPPER(F64))/100</f>
        <v>0.94</v>
      </c>
      <c r="H64" s="20"/>
      <c r="I64" s="53" t="str">
        <f t="shared" si="114"/>
        <v>14:33:10.791</v>
      </c>
      <c r="J64" s="54" t="str">
        <f t="shared" si="115"/>
        <v>14:33:14.118</v>
      </c>
      <c r="K64" s="46">
        <f>J64-I64</f>
        <v>3.8506944444405278E-5</v>
      </c>
      <c r="L64" s="74"/>
      <c r="M64" s="7"/>
      <c r="N64" s="17" t="s">
        <v>19</v>
      </c>
      <c r="O64" s="26"/>
      <c r="P64" s="41"/>
      <c r="Q64" t="s">
        <v>222</v>
      </c>
      <c r="R64" t="s">
        <v>223</v>
      </c>
      <c r="S64" s="86">
        <f t="shared" si="0"/>
        <v>17</v>
      </c>
    </row>
    <row r="65" spans="1:19" x14ac:dyDescent="0.25">
      <c r="A65" s="40"/>
      <c r="B65" s="41">
        <v>4</v>
      </c>
      <c r="C65" s="9" t="str">
        <f t="shared" ref="C65" si="142">CONCATENATE(A62,".",B65)</f>
        <v>13.4</v>
      </c>
      <c r="D65" s="25"/>
      <c r="E65" s="7"/>
      <c r="F65" s="6" t="s">
        <v>231</v>
      </c>
      <c r="G65" s="84">
        <f t="shared" ref="G65" si="143">FuzzyMatch(UPPER(E62),UPPER(F65))/100</f>
        <v>0</v>
      </c>
      <c r="H65" s="20"/>
      <c r="I65" s="53" t="str">
        <f t="shared" si="114"/>
        <v>14:33:19.056</v>
      </c>
      <c r="J65" s="54" t="str">
        <f t="shared" si="115"/>
        <v>14:33:22.706</v>
      </c>
      <c r="K65" s="46">
        <f>J65-I65</f>
        <v>4.2245370370341817E-5</v>
      </c>
      <c r="L65" s="74"/>
      <c r="M65" s="7"/>
      <c r="N65" s="17" t="s">
        <v>20</v>
      </c>
      <c r="O65" s="26"/>
      <c r="P65" s="41"/>
      <c r="Q65" t="s">
        <v>224</v>
      </c>
      <c r="R65" t="s">
        <v>225</v>
      </c>
      <c r="S65" s="86">
        <f t="shared" si="0"/>
        <v>13</v>
      </c>
    </row>
    <row r="66" spans="1:19" x14ac:dyDescent="0.25">
      <c r="A66" s="42"/>
      <c r="B66" s="30">
        <v>5</v>
      </c>
      <c r="C66" s="31" t="str">
        <f t="shared" ref="C66" si="144">CONCATENATE(A62,".",B66)</f>
        <v>13.5</v>
      </c>
      <c r="D66" s="68"/>
      <c r="E66" s="43"/>
      <c r="F66" s="32" t="s">
        <v>229</v>
      </c>
      <c r="G66" s="85">
        <f t="shared" ref="G66" si="145">FuzzyMatch(UPPER(E62),UPPER(F66))/100</f>
        <v>0.82</v>
      </c>
      <c r="H66" s="44"/>
      <c r="I66" s="51" t="str">
        <f t="shared" si="114"/>
        <v>14:33:28.514</v>
      </c>
      <c r="J66" s="52" t="str">
        <f t="shared" si="115"/>
        <v>14:33:33.021</v>
      </c>
      <c r="K66" s="47">
        <f>J66-I66</f>
        <v>5.2164351851846646E-5</v>
      </c>
      <c r="L66" s="75"/>
      <c r="M66" s="43"/>
      <c r="N66" s="11" t="s">
        <v>20</v>
      </c>
      <c r="O66" s="78"/>
      <c r="P66" s="30"/>
      <c r="Q66" t="s">
        <v>226</v>
      </c>
      <c r="R66" t="s">
        <v>227</v>
      </c>
      <c r="S66" s="86">
        <f t="shared" si="0"/>
        <v>17</v>
      </c>
    </row>
    <row r="67" spans="1:19" x14ac:dyDescent="0.25">
      <c r="A67" s="40">
        <v>14</v>
      </c>
      <c r="B67" s="41">
        <v>1</v>
      </c>
      <c r="C67" s="9" t="str">
        <f t="shared" ref="C67" si="146">CONCATENATE(A67,".",B67)</f>
        <v>14.1</v>
      </c>
      <c r="D67" s="25" t="s">
        <v>25</v>
      </c>
      <c r="E67" s="63" t="s">
        <v>33</v>
      </c>
      <c r="F67" s="70" t="s">
        <v>242</v>
      </c>
      <c r="G67" s="83">
        <f t="shared" ref="G67" si="147">FuzzyMatch(UPPER(E67),UPPER(F67))/100</f>
        <v>0.5</v>
      </c>
      <c r="H67" s="65">
        <f t="shared" ref="H67" si="148">AVERAGE(G67:G71)</f>
        <v>0.85</v>
      </c>
      <c r="I67" s="61" t="str">
        <f t="shared" si="114"/>
        <v>14:37:00.659</v>
      </c>
      <c r="J67" s="62" t="str">
        <f t="shared" si="115"/>
        <v>14:37:03.944</v>
      </c>
      <c r="K67" s="72">
        <f>J67-I67</f>
        <v>3.8020833333374249E-5</v>
      </c>
      <c r="L67" s="73">
        <f t="shared" ref="L67" si="149">AVERAGE(K67:K71)</f>
        <v>4.31666666666608E-5</v>
      </c>
      <c r="M67" s="63" t="s">
        <v>49</v>
      </c>
      <c r="N67" s="66" t="s">
        <v>20</v>
      </c>
      <c r="O67" s="77">
        <f t="shared" ref="O67" si="150">COUNTIF(N67:N71,"Yes")/5</f>
        <v>0.8</v>
      </c>
      <c r="P67" s="67"/>
      <c r="Q67" t="s">
        <v>232</v>
      </c>
      <c r="R67" t="s">
        <v>234</v>
      </c>
      <c r="S67" s="86">
        <f t="shared" ref="S67:S130" si="151">LEN(F67)</f>
        <v>15</v>
      </c>
    </row>
    <row r="68" spans="1:19" x14ac:dyDescent="0.25">
      <c r="A68" s="40"/>
      <c r="B68" s="41">
        <v>2</v>
      </c>
      <c r="C68" s="9" t="str">
        <f t="shared" ref="C68" si="152">CONCATENATE(A67,".",B68)</f>
        <v>14.2</v>
      </c>
      <c r="D68" s="25"/>
      <c r="E68" s="7"/>
      <c r="F68" s="6" t="s">
        <v>243</v>
      </c>
      <c r="G68" s="84">
        <f t="shared" ref="G68" si="153">FuzzyMatch(UPPER(E67),UPPER(F68))/100</f>
        <v>0.75</v>
      </c>
      <c r="H68" s="20"/>
      <c r="I68" s="53" t="str">
        <f t="shared" si="114"/>
        <v>14:37:09.062</v>
      </c>
      <c r="J68" s="54" t="str">
        <f t="shared" si="115"/>
        <v>14:37:13.327</v>
      </c>
      <c r="K68" s="46">
        <f>J68-I68</f>
        <v>4.9363425925874616E-5</v>
      </c>
      <c r="L68" s="74"/>
      <c r="M68" s="7"/>
      <c r="N68" s="17" t="s">
        <v>19</v>
      </c>
      <c r="O68" s="26"/>
      <c r="P68" s="41"/>
      <c r="Q68" t="s">
        <v>233</v>
      </c>
      <c r="R68" t="s">
        <v>235</v>
      </c>
      <c r="S68" s="86">
        <f t="shared" si="151"/>
        <v>20</v>
      </c>
    </row>
    <row r="69" spans="1:19" x14ac:dyDescent="0.25">
      <c r="A69" s="40"/>
      <c r="B69" s="41">
        <v>3</v>
      </c>
      <c r="C69" s="9" t="str">
        <f t="shared" ref="C69" si="154">CONCATENATE(A67,".",B69)</f>
        <v>14.3</v>
      </c>
      <c r="D69" s="25"/>
      <c r="E69" s="7"/>
      <c r="F69" s="6" t="s">
        <v>244</v>
      </c>
      <c r="G69" s="84">
        <f t="shared" ref="G69" si="155">FuzzyMatch(UPPER(E67),UPPER(F69))/100</f>
        <v>1</v>
      </c>
      <c r="H69" s="20"/>
      <c r="I69" s="53" t="str">
        <f t="shared" si="114"/>
        <v>14:37:17.281</v>
      </c>
      <c r="J69" s="54" t="str">
        <f t="shared" si="115"/>
        <v>14:37:21.230</v>
      </c>
      <c r="K69" s="46">
        <f>J69-I69</f>
        <v>4.5706018518498759E-5</v>
      </c>
      <c r="L69" s="74"/>
      <c r="M69" s="7"/>
      <c r="N69" s="17" t="s">
        <v>19</v>
      </c>
      <c r="O69" s="26"/>
      <c r="P69" s="41"/>
      <c r="Q69" t="s">
        <v>236</v>
      </c>
      <c r="R69" t="s">
        <v>237</v>
      </c>
      <c r="S69" s="86">
        <f t="shared" si="151"/>
        <v>16</v>
      </c>
    </row>
    <row r="70" spans="1:19" x14ac:dyDescent="0.25">
      <c r="A70" s="40"/>
      <c r="B70" s="41">
        <v>4</v>
      </c>
      <c r="C70" s="9" t="str">
        <f t="shared" ref="C70" si="156">CONCATENATE(A67,".",B70)</f>
        <v>14.4</v>
      </c>
      <c r="D70" s="25"/>
      <c r="E70" s="7"/>
      <c r="F70" s="6" t="s">
        <v>244</v>
      </c>
      <c r="G70" s="84">
        <f t="shared" ref="G70" si="157">FuzzyMatch(UPPER(E67),UPPER(F70))/100</f>
        <v>1</v>
      </c>
      <c r="H70" s="20"/>
      <c r="I70" s="53" t="str">
        <f t="shared" si="114"/>
        <v>14:37:28.164</v>
      </c>
      <c r="J70" s="54" t="str">
        <f t="shared" si="115"/>
        <v>14:37:31.525</v>
      </c>
      <c r="K70" s="46">
        <f>J70-I70</f>
        <v>3.890046296295413E-5</v>
      </c>
      <c r="L70" s="74"/>
      <c r="M70" s="7"/>
      <c r="N70" s="17" t="s">
        <v>19</v>
      </c>
      <c r="O70" s="26"/>
      <c r="P70" s="41"/>
      <c r="Q70" t="s">
        <v>241</v>
      </c>
      <c r="R70" t="s">
        <v>240</v>
      </c>
      <c r="S70" s="86">
        <f t="shared" si="151"/>
        <v>16</v>
      </c>
    </row>
    <row r="71" spans="1:19" x14ac:dyDescent="0.25">
      <c r="A71" s="42"/>
      <c r="B71" s="30">
        <v>5</v>
      </c>
      <c r="C71" s="31" t="str">
        <f t="shared" ref="C71" si="158">CONCATENATE(A67,".",B71)</f>
        <v>14.5</v>
      </c>
      <c r="D71" s="68"/>
      <c r="E71" s="43"/>
      <c r="F71" s="32" t="s">
        <v>244</v>
      </c>
      <c r="G71" s="85">
        <f t="shared" ref="G71" si="159">FuzzyMatch(UPPER(E67),UPPER(F71))/100</f>
        <v>1</v>
      </c>
      <c r="H71" s="44"/>
      <c r="I71" s="51" t="str">
        <f t="shared" si="114"/>
        <v>14:38:22.511</v>
      </c>
      <c r="J71" s="52" t="str">
        <f t="shared" si="115"/>
        <v>14:38:26.299</v>
      </c>
      <c r="K71" s="47">
        <f>J71-I71</f>
        <v>4.3842592592602259E-5</v>
      </c>
      <c r="L71" s="75"/>
      <c r="M71" s="43"/>
      <c r="N71" s="11" t="s">
        <v>19</v>
      </c>
      <c r="O71" s="78"/>
      <c r="P71" s="30"/>
      <c r="Q71" t="s">
        <v>238</v>
      </c>
      <c r="R71" t="s">
        <v>239</v>
      </c>
      <c r="S71" s="86">
        <f t="shared" si="151"/>
        <v>16</v>
      </c>
    </row>
    <row r="72" spans="1:19" x14ac:dyDescent="0.25">
      <c r="A72" s="40">
        <v>15</v>
      </c>
      <c r="B72" s="41">
        <v>1</v>
      </c>
      <c r="C72" s="9" t="str">
        <f t="shared" ref="C72" si="160">CONCATENATE(A72,".",B72)</f>
        <v>15.1</v>
      </c>
      <c r="D72" s="25" t="s">
        <v>25</v>
      </c>
      <c r="E72" s="63" t="s">
        <v>17</v>
      </c>
      <c r="F72" s="70" t="s">
        <v>250</v>
      </c>
      <c r="G72" s="83">
        <f t="shared" ref="G72" si="161">FuzzyMatch(UPPER(E72),UPPER(F72))/100</f>
        <v>1</v>
      </c>
      <c r="H72" s="65">
        <f t="shared" ref="H72" si="162">AVERAGE(G72:G76)</f>
        <v>0.95799999999999996</v>
      </c>
      <c r="I72" s="61" t="str">
        <f t="shared" si="114"/>
        <v>14:42:23.594</v>
      </c>
      <c r="J72" s="62" t="str">
        <f t="shared" si="115"/>
        <v>14:42:27.175</v>
      </c>
      <c r="K72" s="72">
        <f>J72-I72</f>
        <v>4.1446759259322619E-5</v>
      </c>
      <c r="L72" s="73">
        <f t="shared" ref="L72" si="163">AVERAGE(K72:K76)</f>
        <v>4.4877314814795175E-5</v>
      </c>
      <c r="M72" s="63" t="s">
        <v>50</v>
      </c>
      <c r="N72" s="66" t="s">
        <v>19</v>
      </c>
      <c r="O72" s="77">
        <f t="shared" ref="O72" si="164">COUNTIF(N72:N76,"Yes")/5</f>
        <v>1</v>
      </c>
      <c r="P72" s="67"/>
      <c r="Q72" t="s">
        <v>256</v>
      </c>
      <c r="R72" t="s">
        <v>255</v>
      </c>
      <c r="S72" s="86">
        <f t="shared" si="151"/>
        <v>14</v>
      </c>
    </row>
    <row r="73" spans="1:19" x14ac:dyDescent="0.25">
      <c r="A73" s="40"/>
      <c r="B73" s="41">
        <v>2</v>
      </c>
      <c r="C73" s="9" t="str">
        <f t="shared" ref="C73" si="165">CONCATENATE(A72,".",B73)</f>
        <v>15.2</v>
      </c>
      <c r="D73" s="25"/>
      <c r="E73" s="7"/>
      <c r="F73" s="6" t="s">
        <v>250</v>
      </c>
      <c r="G73" s="84">
        <f t="shared" ref="G73" si="166">FuzzyMatch(UPPER(E72),UPPER(F73))/100</f>
        <v>1</v>
      </c>
      <c r="H73" s="20"/>
      <c r="I73" s="53" t="str">
        <f t="shared" si="114"/>
        <v>14:43:49.745</v>
      </c>
      <c r="J73" s="54" t="str">
        <f t="shared" si="115"/>
        <v>14:43:53.418</v>
      </c>
      <c r="K73" s="46">
        <f>J73-I73</f>
        <v>4.2511574074088898E-5</v>
      </c>
      <c r="L73" s="74"/>
      <c r="M73" s="7"/>
      <c r="N73" s="17" t="s">
        <v>19</v>
      </c>
      <c r="O73" s="26"/>
      <c r="P73" s="41"/>
      <c r="Q73" t="s">
        <v>254</v>
      </c>
      <c r="R73" t="s">
        <v>253</v>
      </c>
      <c r="S73" s="86">
        <f t="shared" si="151"/>
        <v>14</v>
      </c>
    </row>
    <row r="74" spans="1:19" x14ac:dyDescent="0.25">
      <c r="A74" s="40"/>
      <c r="B74" s="41">
        <v>3</v>
      </c>
      <c r="C74" s="9" t="str">
        <f t="shared" ref="C74" si="167">CONCATENATE(A72,".",B74)</f>
        <v>15.3</v>
      </c>
      <c r="D74" s="25"/>
      <c r="E74" s="7"/>
      <c r="F74" s="6" t="s">
        <v>250</v>
      </c>
      <c r="G74" s="84">
        <f t="shared" ref="G74" si="168">FuzzyMatch(UPPER(E72),UPPER(F74))/100</f>
        <v>1</v>
      </c>
      <c r="H74" s="20"/>
      <c r="I74" s="53" t="str">
        <f t="shared" si="114"/>
        <v>14:44:21.319</v>
      </c>
      <c r="J74" s="54" t="str">
        <f t="shared" si="115"/>
        <v>14:44:24.895</v>
      </c>
      <c r="K74" s="46">
        <f>J74-I74</f>
        <v>4.1388888888826969E-5</v>
      </c>
      <c r="L74" s="74"/>
      <c r="M74" s="7"/>
      <c r="N74" s="17" t="s">
        <v>19</v>
      </c>
      <c r="O74" s="26"/>
      <c r="P74" s="41"/>
      <c r="Q74" t="s">
        <v>252</v>
      </c>
      <c r="R74" t="s">
        <v>251</v>
      </c>
      <c r="S74" s="86">
        <f t="shared" si="151"/>
        <v>14</v>
      </c>
    </row>
    <row r="75" spans="1:19" x14ac:dyDescent="0.25">
      <c r="A75" s="40"/>
      <c r="B75" s="41">
        <v>4</v>
      </c>
      <c r="C75" s="9" t="str">
        <f t="shared" ref="C75" si="169">CONCATENATE(A72,".",B75)</f>
        <v>15.4</v>
      </c>
      <c r="D75" s="25"/>
      <c r="E75" s="7"/>
      <c r="F75" s="6" t="s">
        <v>250</v>
      </c>
      <c r="G75" s="84">
        <f t="shared" ref="G75" si="170">FuzzyMatch(UPPER(E72),UPPER(F75))/100</f>
        <v>1</v>
      </c>
      <c r="H75" s="20"/>
      <c r="I75" s="53" t="str">
        <f t="shared" si="114"/>
        <v>14:44:50.852</v>
      </c>
      <c r="J75" s="54" t="str">
        <f t="shared" si="115"/>
        <v>14:44:55.168</v>
      </c>
      <c r="K75" s="46">
        <f>J75-I75</f>
        <v>4.9953703703642383E-5</v>
      </c>
      <c r="L75" s="74"/>
      <c r="M75" s="7"/>
      <c r="N75" s="17" t="s">
        <v>19</v>
      </c>
      <c r="O75" s="26"/>
      <c r="P75" s="41"/>
      <c r="Q75" t="s">
        <v>249</v>
      </c>
      <c r="R75" t="s">
        <v>248</v>
      </c>
      <c r="S75" s="86">
        <f t="shared" si="151"/>
        <v>14</v>
      </c>
    </row>
    <row r="76" spans="1:19" x14ac:dyDescent="0.25">
      <c r="A76" s="42"/>
      <c r="B76" s="30">
        <v>5</v>
      </c>
      <c r="C76" s="31" t="str">
        <f t="shared" ref="C76" si="171">CONCATENATE(A72,".",B76)</f>
        <v>15.5</v>
      </c>
      <c r="D76" s="68"/>
      <c r="E76" s="43"/>
      <c r="F76" s="32" t="s">
        <v>247</v>
      </c>
      <c r="G76" s="85">
        <f t="shared" ref="G76" si="172">FuzzyMatch(UPPER(E72),UPPER(F76))/100</f>
        <v>0.79</v>
      </c>
      <c r="H76" s="44"/>
      <c r="I76" s="51" t="str">
        <f t="shared" si="114"/>
        <v>14:46:52.060</v>
      </c>
      <c r="J76" s="52" t="str">
        <f t="shared" si="115"/>
        <v>14:46:56.301</v>
      </c>
      <c r="K76" s="47">
        <f>J76-I76</f>
        <v>4.9085648148095018E-5</v>
      </c>
      <c r="L76" s="75"/>
      <c r="M76" s="43"/>
      <c r="N76" s="11" t="s">
        <v>19</v>
      </c>
      <c r="O76" s="78"/>
      <c r="P76" s="30"/>
      <c r="Q76" t="s">
        <v>246</v>
      </c>
      <c r="R76" t="s">
        <v>245</v>
      </c>
      <c r="S76" s="86">
        <f t="shared" si="151"/>
        <v>17</v>
      </c>
    </row>
    <row r="77" spans="1:19" x14ac:dyDescent="0.25">
      <c r="A77" s="40">
        <v>16</v>
      </c>
      <c r="B77" s="41">
        <v>1</v>
      </c>
      <c r="C77" s="9" t="str">
        <f t="shared" ref="C77" si="173">CONCATENATE(A77,".",B77)</f>
        <v>16.1</v>
      </c>
      <c r="D77" s="25" t="s">
        <v>25</v>
      </c>
      <c r="E77" s="63" t="s">
        <v>34</v>
      </c>
      <c r="F77" s="70" t="s">
        <v>259</v>
      </c>
      <c r="G77" s="83">
        <f t="shared" ref="G77" si="174">FuzzyMatch(UPPER(E77),UPPER(F77))/100</f>
        <v>1</v>
      </c>
      <c r="H77" s="65">
        <f t="shared" ref="H77" si="175">AVERAGE(G77:G81)</f>
        <v>0.93399999999999994</v>
      </c>
      <c r="I77" s="61" t="str">
        <f t="shared" si="114"/>
        <v>14:52:15.717</v>
      </c>
      <c r="J77" s="62" t="str">
        <f t="shared" si="115"/>
        <v>14:52:19.598</v>
      </c>
      <c r="K77" s="72">
        <f>J77-I77</f>
        <v>4.4918981481512077E-5</v>
      </c>
      <c r="L77" s="73">
        <f t="shared" ref="L77" si="176">AVERAGE(K77:K81)</f>
        <v>4.6810185185197642E-5</v>
      </c>
      <c r="M77" s="63" t="s">
        <v>50</v>
      </c>
      <c r="N77" s="66" t="s">
        <v>19</v>
      </c>
      <c r="O77" s="77">
        <f t="shared" ref="O77" si="177">COUNTIF(N77:N81,"Yes")/5</f>
        <v>0.8</v>
      </c>
      <c r="P77" s="67"/>
      <c r="Q77" t="s">
        <v>257</v>
      </c>
      <c r="R77" t="s">
        <v>258</v>
      </c>
      <c r="S77" s="86">
        <f t="shared" si="151"/>
        <v>18</v>
      </c>
    </row>
    <row r="78" spans="1:19" x14ac:dyDescent="0.25">
      <c r="A78" s="40"/>
      <c r="B78" s="41">
        <v>2</v>
      </c>
      <c r="C78" s="9" t="str">
        <f t="shared" ref="C78" si="178">CONCATENATE(A77,".",B78)</f>
        <v>16.2</v>
      </c>
      <c r="D78" s="25"/>
      <c r="E78" s="7"/>
      <c r="F78" s="6" t="s">
        <v>259</v>
      </c>
      <c r="G78" s="84">
        <f t="shared" ref="G78" si="179">FuzzyMatch(UPPER(E77),UPPER(F78))/100</f>
        <v>1</v>
      </c>
      <c r="H78" s="20"/>
      <c r="I78" s="53" t="str">
        <f t="shared" si="114"/>
        <v>14:52:42.652</v>
      </c>
      <c r="J78" s="54" t="str">
        <f t="shared" si="115"/>
        <v>14:52:47.173</v>
      </c>
      <c r="K78" s="46">
        <f>J78-I78</f>
        <v>5.2326388888968012E-5</v>
      </c>
      <c r="L78" s="74"/>
      <c r="M78" s="7"/>
      <c r="N78" s="17" t="s">
        <v>19</v>
      </c>
      <c r="O78" s="26"/>
      <c r="P78" s="41"/>
      <c r="Q78" t="s">
        <v>260</v>
      </c>
      <c r="R78" t="s">
        <v>261</v>
      </c>
      <c r="S78" s="86">
        <f t="shared" si="151"/>
        <v>18</v>
      </c>
    </row>
    <row r="79" spans="1:19" x14ac:dyDescent="0.25">
      <c r="A79" s="40"/>
      <c r="B79" s="41">
        <v>3</v>
      </c>
      <c r="C79" s="9" t="str">
        <f t="shared" ref="C79" si="180">CONCATENATE(A77,".",B79)</f>
        <v>16.3</v>
      </c>
      <c r="D79" s="25"/>
      <c r="E79" s="7"/>
      <c r="F79" s="6" t="s">
        <v>259</v>
      </c>
      <c r="G79" s="84">
        <f t="shared" ref="G79" si="181">FuzzyMatch(UPPER(E77),UPPER(F79))/100</f>
        <v>1</v>
      </c>
      <c r="H79" s="20"/>
      <c r="I79" s="53" t="str">
        <f t="shared" si="114"/>
        <v>14:53:11.448</v>
      </c>
      <c r="J79" s="54" t="str">
        <f t="shared" si="115"/>
        <v>14:53:15.825</v>
      </c>
      <c r="K79" s="46">
        <f>J79-I79</f>
        <v>5.0659722222179404E-5</v>
      </c>
      <c r="L79" s="74"/>
      <c r="M79" s="7"/>
      <c r="N79" s="17" t="s">
        <v>19</v>
      </c>
      <c r="O79" s="26"/>
      <c r="P79" s="41"/>
      <c r="Q79" t="s">
        <v>262</v>
      </c>
      <c r="R79" t="s">
        <v>263</v>
      </c>
      <c r="S79" s="86">
        <f t="shared" si="151"/>
        <v>18</v>
      </c>
    </row>
    <row r="80" spans="1:19" x14ac:dyDescent="0.25">
      <c r="A80" s="40"/>
      <c r="B80" s="41">
        <v>4</v>
      </c>
      <c r="C80" s="9" t="str">
        <f t="shared" ref="C80" si="182">CONCATENATE(A77,".",B80)</f>
        <v>16.4</v>
      </c>
      <c r="D80" s="25"/>
      <c r="E80" s="7"/>
      <c r="F80" s="6" t="s">
        <v>259</v>
      </c>
      <c r="G80" s="84">
        <f t="shared" ref="G80" si="183">FuzzyMatch(UPPER(E77),UPPER(F80))/100</f>
        <v>1</v>
      </c>
      <c r="H80" s="20"/>
      <c r="I80" s="53" t="str">
        <f t="shared" si="114"/>
        <v>14:53:41.025</v>
      </c>
      <c r="J80" s="54" t="str">
        <f t="shared" si="115"/>
        <v>14:53:44.639</v>
      </c>
      <c r="K80" s="46">
        <f>J80-I80</f>
        <v>4.1828703703727932E-5</v>
      </c>
      <c r="L80" s="74"/>
      <c r="M80" s="7"/>
      <c r="N80" s="17" t="s">
        <v>19</v>
      </c>
      <c r="O80" s="26"/>
      <c r="P80" s="41"/>
      <c r="Q80" t="s">
        <v>264</v>
      </c>
      <c r="R80" t="s">
        <v>265</v>
      </c>
      <c r="S80" s="86">
        <f t="shared" si="151"/>
        <v>18</v>
      </c>
    </row>
    <row r="81" spans="1:19" x14ac:dyDescent="0.25">
      <c r="A81" s="42"/>
      <c r="B81" s="30">
        <v>5</v>
      </c>
      <c r="C81" s="31" t="str">
        <f t="shared" ref="C81" si="184">CONCATENATE(A77,".",B81)</f>
        <v>16.5</v>
      </c>
      <c r="D81" s="68"/>
      <c r="E81" s="43"/>
      <c r="F81" s="32" t="s">
        <v>266</v>
      </c>
      <c r="G81" s="85">
        <f t="shared" ref="G81" si="185">FuzzyMatch(UPPER(E77),UPPER(F81))/100</f>
        <v>0.67</v>
      </c>
      <c r="H81" s="44"/>
      <c r="I81" s="51" t="str">
        <f t="shared" si="114"/>
        <v>14:57:23.368</v>
      </c>
      <c r="J81" s="52" t="str">
        <f t="shared" si="115"/>
        <v>14:57:27.197</v>
      </c>
      <c r="K81" s="47">
        <f>J81-I81</f>
        <v>4.4317129629600771E-5</v>
      </c>
      <c r="L81" s="75"/>
      <c r="M81" s="43"/>
      <c r="N81" s="11" t="s">
        <v>20</v>
      </c>
      <c r="O81" s="78"/>
      <c r="P81" s="30"/>
      <c r="Q81" t="s">
        <v>268</v>
      </c>
      <c r="R81" t="s">
        <v>267</v>
      </c>
      <c r="S81" s="86">
        <f t="shared" si="151"/>
        <v>16</v>
      </c>
    </row>
    <row r="82" spans="1:19" ht="15" customHeight="1" x14ac:dyDescent="0.25">
      <c r="A82" s="40">
        <v>17</v>
      </c>
      <c r="B82" s="41">
        <v>1</v>
      </c>
      <c r="C82" s="9" t="str">
        <f t="shared" ref="C82" si="186">CONCATENATE(A82,".",B82)</f>
        <v>17.1</v>
      </c>
      <c r="D82" s="25" t="s">
        <v>24</v>
      </c>
      <c r="E82" s="63" t="s">
        <v>282</v>
      </c>
      <c r="F82" s="70" t="s">
        <v>279</v>
      </c>
      <c r="G82" s="83">
        <f t="shared" ref="G82" si="187">FuzzyMatch(UPPER(E82),UPPER(F82))/100</f>
        <v>0.95</v>
      </c>
      <c r="H82" s="65">
        <f t="shared" ref="H82" si="188">AVERAGE(G82:G86)</f>
        <v>0.95</v>
      </c>
      <c r="I82" s="61" t="str">
        <f t="shared" si="114"/>
        <v>14:58:39.898</v>
      </c>
      <c r="J82" s="62" t="str">
        <f t="shared" si="115"/>
        <v>14:58:43.741</v>
      </c>
      <c r="K82" s="72">
        <f>J82-I82</f>
        <v>4.4479166666611114E-5</v>
      </c>
      <c r="L82" s="73">
        <f t="shared" ref="L82" si="189">AVERAGE(K82:K86)</f>
        <v>4.7192129629602955E-5</v>
      </c>
      <c r="M82" s="63" t="s">
        <v>66</v>
      </c>
      <c r="N82" s="66" t="s">
        <v>19</v>
      </c>
      <c r="O82" s="77">
        <f t="shared" ref="O82" si="190">COUNTIF(N82:N86,"Yes")/5</f>
        <v>1</v>
      </c>
      <c r="P82" s="67"/>
      <c r="Q82" t="s">
        <v>277</v>
      </c>
      <c r="R82" t="s">
        <v>278</v>
      </c>
      <c r="S82" s="86">
        <f t="shared" si="151"/>
        <v>20</v>
      </c>
    </row>
    <row r="83" spans="1:19" x14ac:dyDescent="0.25">
      <c r="A83" s="40"/>
      <c r="B83" s="41">
        <v>2</v>
      </c>
      <c r="C83" s="9" t="str">
        <f t="shared" ref="C83" si="191">CONCATENATE(A82,".",B83)</f>
        <v>17.2</v>
      </c>
      <c r="D83" s="25"/>
      <c r="E83" s="7"/>
      <c r="F83" s="6" t="s">
        <v>280</v>
      </c>
      <c r="G83" s="84">
        <f t="shared" ref="G83" si="192">FuzzyMatch(UPPER(E82),UPPER(F83))/100</f>
        <v>1</v>
      </c>
      <c r="H83" s="20"/>
      <c r="I83" s="53" t="str">
        <f t="shared" si="114"/>
        <v>14:58:48.657</v>
      </c>
      <c r="J83" s="54" t="str">
        <f t="shared" si="115"/>
        <v>14:58:52.694</v>
      </c>
      <c r="K83" s="46">
        <f>J83-I83</f>
        <v>4.672453703702395E-5</v>
      </c>
      <c r="L83" s="74"/>
      <c r="M83" s="7"/>
      <c r="N83" s="17" t="s">
        <v>19</v>
      </c>
      <c r="O83" s="26"/>
      <c r="P83" s="41"/>
      <c r="Q83" t="s">
        <v>269</v>
      </c>
      <c r="R83" t="s">
        <v>270</v>
      </c>
      <c r="S83" s="86">
        <f t="shared" si="151"/>
        <v>20</v>
      </c>
    </row>
    <row r="84" spans="1:19" x14ac:dyDescent="0.25">
      <c r="A84" s="40"/>
      <c r="B84" s="41">
        <v>3</v>
      </c>
      <c r="C84" s="9" t="str">
        <f t="shared" ref="C84" si="193">CONCATENATE(A82,".",B84)</f>
        <v>17.3</v>
      </c>
      <c r="D84" s="25"/>
      <c r="E84" s="7"/>
      <c r="F84" s="6" t="s">
        <v>280</v>
      </c>
      <c r="G84" s="84">
        <f t="shared" ref="G84" si="194">FuzzyMatch(UPPER(E82),UPPER(F84))/100</f>
        <v>1</v>
      </c>
      <c r="H84" s="20"/>
      <c r="I84" s="53" t="str">
        <f t="shared" si="114"/>
        <v>14:59:01.766</v>
      </c>
      <c r="J84" s="54" t="str">
        <f t="shared" si="115"/>
        <v>14:59:06.031</v>
      </c>
      <c r="K84" s="46">
        <f>J84-I84</f>
        <v>4.9363425925874616E-5</v>
      </c>
      <c r="L84" s="74"/>
      <c r="M84" s="7"/>
      <c r="N84" s="17" t="s">
        <v>19</v>
      </c>
      <c r="O84" s="26"/>
      <c r="P84" s="41"/>
      <c r="Q84" t="s">
        <v>271</v>
      </c>
      <c r="R84" t="s">
        <v>272</v>
      </c>
      <c r="S84" s="86">
        <f t="shared" si="151"/>
        <v>20</v>
      </c>
    </row>
    <row r="85" spans="1:19" x14ac:dyDescent="0.25">
      <c r="A85" s="40"/>
      <c r="B85" s="41">
        <v>4</v>
      </c>
      <c r="C85" s="9" t="str">
        <f t="shared" ref="C85" si="195">CONCATENATE(A82,".",B85)</f>
        <v>17.4</v>
      </c>
      <c r="D85" s="25"/>
      <c r="E85" s="7"/>
      <c r="F85" s="6" t="s">
        <v>281</v>
      </c>
      <c r="G85" s="84">
        <f t="shared" ref="G85" si="196">FuzzyMatch(UPPER(E82),UPPER(F85))/100</f>
        <v>0.8</v>
      </c>
      <c r="H85" s="20"/>
      <c r="I85" s="53" t="str">
        <f t="shared" si="114"/>
        <v>14:59:10.420</v>
      </c>
      <c r="J85" s="54" t="str">
        <f t="shared" si="115"/>
        <v>14:59:14.415</v>
      </c>
      <c r="K85" s="46">
        <f>J85-I85</f>
        <v>4.6238425925992921E-5</v>
      </c>
      <c r="L85" s="74"/>
      <c r="M85" s="7"/>
      <c r="N85" s="17" t="s">
        <v>19</v>
      </c>
      <c r="O85" s="26"/>
      <c r="P85" s="41"/>
      <c r="Q85" t="s">
        <v>273</v>
      </c>
      <c r="R85" t="s">
        <v>274</v>
      </c>
      <c r="S85" s="86">
        <f t="shared" si="151"/>
        <v>19</v>
      </c>
    </row>
    <row r="86" spans="1:19" x14ac:dyDescent="0.25">
      <c r="A86" s="42"/>
      <c r="B86" s="30">
        <v>5</v>
      </c>
      <c r="C86" s="31" t="str">
        <f t="shared" ref="C86" si="197">CONCATENATE(A82,".",B86)</f>
        <v>17.5</v>
      </c>
      <c r="D86" s="68"/>
      <c r="E86" s="43"/>
      <c r="F86" s="32" t="s">
        <v>280</v>
      </c>
      <c r="G86" s="85">
        <f t="shared" ref="G86" si="198">FuzzyMatch(UPPER(E82),UPPER(F86))/100</f>
        <v>1</v>
      </c>
      <c r="H86" s="44"/>
      <c r="I86" s="51" t="str">
        <f t="shared" si="114"/>
        <v>14:59:18.850</v>
      </c>
      <c r="J86" s="52" t="str">
        <f t="shared" si="115"/>
        <v>14:59:23.097</v>
      </c>
      <c r="K86" s="47">
        <f>J86-I86</f>
        <v>4.9155092592512162E-5</v>
      </c>
      <c r="L86" s="75"/>
      <c r="M86" s="43"/>
      <c r="N86" s="11" t="s">
        <v>19</v>
      </c>
      <c r="O86" s="78"/>
      <c r="P86" s="30"/>
      <c r="Q86" t="s">
        <v>275</v>
      </c>
      <c r="R86" t="s">
        <v>276</v>
      </c>
      <c r="S86" s="86">
        <f t="shared" si="151"/>
        <v>20</v>
      </c>
    </row>
    <row r="87" spans="1:19" x14ac:dyDescent="0.25">
      <c r="A87" s="40">
        <v>18</v>
      </c>
      <c r="B87" s="41">
        <v>1</v>
      </c>
      <c r="C87" s="9" t="str">
        <f t="shared" ref="C87" si="199">CONCATENATE(A87,".",B87)</f>
        <v>18.1</v>
      </c>
      <c r="D87" s="25" t="s">
        <v>24</v>
      </c>
      <c r="E87" s="63" t="s">
        <v>284</v>
      </c>
      <c r="F87" s="70" t="s">
        <v>283</v>
      </c>
      <c r="G87" s="83">
        <f t="shared" ref="G87" si="200">FuzzyMatch(UPPER(E87),UPPER(F87))/100</f>
        <v>1</v>
      </c>
      <c r="H87" s="65">
        <f t="shared" ref="H87" si="201">AVERAGE(G87:G91)</f>
        <v>1</v>
      </c>
      <c r="I87" s="61" t="str">
        <f t="shared" si="114"/>
        <v>15:03:05.345</v>
      </c>
      <c r="J87" s="62" t="str">
        <f t="shared" si="115"/>
        <v>15:03:08.784</v>
      </c>
      <c r="K87" s="72">
        <f>J87-I87</f>
        <v>3.9803240740710066E-5</v>
      </c>
      <c r="L87" s="73">
        <f t="shared" ref="L87" si="202">AVERAGE(K87:K91)</f>
        <v>4.7687499999993224E-5</v>
      </c>
      <c r="M87" s="63" t="s">
        <v>66</v>
      </c>
      <c r="N87" s="66" t="s">
        <v>19</v>
      </c>
      <c r="O87" s="77">
        <f t="shared" ref="O87" si="203">COUNTIF(N87:N91,"Yes")/5</f>
        <v>1</v>
      </c>
      <c r="P87" s="67"/>
      <c r="Q87" t="s">
        <v>293</v>
      </c>
      <c r="R87" t="s">
        <v>294</v>
      </c>
      <c r="S87" s="86">
        <f t="shared" si="151"/>
        <v>17</v>
      </c>
    </row>
    <row r="88" spans="1:19" x14ac:dyDescent="0.25">
      <c r="A88" s="40"/>
      <c r="B88" s="41">
        <v>2</v>
      </c>
      <c r="C88" s="9" t="str">
        <f t="shared" ref="C88" si="204">CONCATENATE(A87,".",B88)</f>
        <v>18.2</v>
      </c>
      <c r="D88" s="25"/>
      <c r="E88" s="7"/>
      <c r="F88" s="6" t="s">
        <v>283</v>
      </c>
      <c r="G88" s="84">
        <f t="shared" ref="G88" si="205">FuzzyMatch(UPPER(E87),UPPER(F88))/100</f>
        <v>1</v>
      </c>
      <c r="H88" s="20"/>
      <c r="I88" s="53" t="str">
        <f t="shared" si="114"/>
        <v>15:03:13.140</v>
      </c>
      <c r="J88" s="54" t="str">
        <f t="shared" si="115"/>
        <v>15:03:16.906</v>
      </c>
      <c r="K88" s="46">
        <f>J88-I88</f>
        <v>4.3587962962998716E-5</v>
      </c>
      <c r="L88" s="74"/>
      <c r="M88" s="7"/>
      <c r="N88" s="17" t="s">
        <v>19</v>
      </c>
      <c r="O88" s="26"/>
      <c r="P88" s="41"/>
      <c r="Q88" t="s">
        <v>285</v>
      </c>
      <c r="R88" t="s">
        <v>286</v>
      </c>
      <c r="S88" s="86">
        <f t="shared" si="151"/>
        <v>17</v>
      </c>
    </row>
    <row r="89" spans="1:19" x14ac:dyDescent="0.25">
      <c r="A89" s="40"/>
      <c r="B89" s="41">
        <v>3</v>
      </c>
      <c r="C89" s="9" t="str">
        <f t="shared" ref="C89" si="206">CONCATENATE(A87,".",B89)</f>
        <v>18.3</v>
      </c>
      <c r="D89" s="25"/>
      <c r="E89" s="7"/>
      <c r="F89" s="6" t="s">
        <v>283</v>
      </c>
      <c r="G89" s="84">
        <f t="shared" ref="G89" si="207">FuzzyMatch(UPPER(E87),UPPER(F89))/100</f>
        <v>1</v>
      </c>
      <c r="H89" s="20"/>
      <c r="I89" s="53" t="str">
        <f t="shared" si="114"/>
        <v>15:03:21.429</v>
      </c>
      <c r="J89" s="54" t="str">
        <f t="shared" si="115"/>
        <v>15:03:25.378</v>
      </c>
      <c r="K89" s="46">
        <f>J89-I89</f>
        <v>4.5706018518609781E-5</v>
      </c>
      <c r="L89" s="74"/>
      <c r="M89" s="7"/>
      <c r="N89" s="17" t="s">
        <v>19</v>
      </c>
      <c r="O89" s="26"/>
      <c r="P89" s="41"/>
      <c r="Q89" t="s">
        <v>287</v>
      </c>
      <c r="R89" t="s">
        <v>288</v>
      </c>
      <c r="S89" s="86">
        <f t="shared" si="151"/>
        <v>17</v>
      </c>
    </row>
    <row r="90" spans="1:19" x14ac:dyDescent="0.25">
      <c r="A90" s="40"/>
      <c r="B90" s="41">
        <v>4</v>
      </c>
      <c r="C90" s="9" t="str">
        <f t="shared" ref="C90" si="208">CONCATENATE(A87,".",B90)</f>
        <v>18.4</v>
      </c>
      <c r="D90" s="25"/>
      <c r="E90" s="7"/>
      <c r="F90" s="6" t="s">
        <v>283</v>
      </c>
      <c r="G90" s="84">
        <f t="shared" ref="G90" si="209">FuzzyMatch(UPPER(E87),UPPER(F90))/100</f>
        <v>1</v>
      </c>
      <c r="H90" s="20"/>
      <c r="I90" s="53" t="str">
        <f t="shared" si="114"/>
        <v>15:03:30.727</v>
      </c>
      <c r="J90" s="54" t="str">
        <f t="shared" si="115"/>
        <v>15:03:34.573</v>
      </c>
      <c r="K90" s="46">
        <f>J90-I90</f>
        <v>4.4513888888819686E-5</v>
      </c>
      <c r="L90" s="74"/>
      <c r="M90" s="7"/>
      <c r="N90" s="17" t="s">
        <v>19</v>
      </c>
      <c r="O90" s="26"/>
      <c r="P90" s="41"/>
      <c r="Q90" t="s">
        <v>289</v>
      </c>
      <c r="R90" t="s">
        <v>290</v>
      </c>
      <c r="S90" s="86">
        <f t="shared" si="151"/>
        <v>17</v>
      </c>
    </row>
    <row r="91" spans="1:19" x14ac:dyDescent="0.25">
      <c r="A91" s="42"/>
      <c r="B91" s="30">
        <v>5</v>
      </c>
      <c r="C91" s="31" t="str">
        <f t="shared" ref="C91" si="210">CONCATENATE(A87,".",B91)</f>
        <v>18.5</v>
      </c>
      <c r="D91" s="68"/>
      <c r="E91" s="43"/>
      <c r="F91" s="32" t="s">
        <v>283</v>
      </c>
      <c r="G91" s="85">
        <f t="shared" ref="G91" si="211">FuzzyMatch(UPPER(E87),UPPER(F91))/100</f>
        <v>1</v>
      </c>
      <c r="H91" s="44"/>
      <c r="I91" s="51" t="str">
        <f t="shared" si="114"/>
        <v>15:03:39.324</v>
      </c>
      <c r="J91" s="52" t="str">
        <f t="shared" si="115"/>
        <v>15:03:44.925</v>
      </c>
      <c r="K91" s="47">
        <f>J91-I91</f>
        <v>6.4826388888827857E-5</v>
      </c>
      <c r="L91" s="75"/>
      <c r="M91" s="43"/>
      <c r="N91" s="11" t="s">
        <v>19</v>
      </c>
      <c r="O91" s="78"/>
      <c r="P91" s="30"/>
      <c r="Q91" t="s">
        <v>291</v>
      </c>
      <c r="R91" t="s">
        <v>292</v>
      </c>
      <c r="S91" s="86">
        <f t="shared" si="151"/>
        <v>17</v>
      </c>
    </row>
    <row r="92" spans="1:19" x14ac:dyDescent="0.25">
      <c r="A92" s="40">
        <v>19</v>
      </c>
      <c r="B92" s="41">
        <v>1</v>
      </c>
      <c r="C92" s="9" t="str">
        <f t="shared" ref="C92" si="212">CONCATENATE(A92,".",B92)</f>
        <v>19.1</v>
      </c>
      <c r="D92" s="25" t="s">
        <v>44</v>
      </c>
      <c r="E92" s="63" t="s">
        <v>35</v>
      </c>
      <c r="F92" s="70" t="s">
        <v>305</v>
      </c>
      <c r="G92" s="83">
        <f t="shared" ref="G92" si="213">FuzzyMatch(UPPER(E92),UPPER(F92))/100</f>
        <v>1</v>
      </c>
      <c r="H92" s="65">
        <f t="shared" ref="H92" si="214">AVERAGE(G92:G96)</f>
        <v>1</v>
      </c>
      <c r="I92" s="61" t="str">
        <f t="shared" si="114"/>
        <v>15:15:58.293</v>
      </c>
      <c r="J92" s="62" t="str">
        <f t="shared" si="115"/>
        <v>15:16:02.057</v>
      </c>
      <c r="K92" s="72">
        <f>J92-I92</f>
        <v>4.3564814814711639E-5</v>
      </c>
      <c r="L92" s="73">
        <f t="shared" ref="L92" si="215">AVERAGE(K92:K96)</f>
        <v>4.5606481481463847E-5</v>
      </c>
      <c r="M92" s="63" t="s">
        <v>51</v>
      </c>
      <c r="N92" s="66" t="s">
        <v>19</v>
      </c>
      <c r="O92" s="77">
        <f t="shared" ref="O92" si="216">COUNTIF(N92:N96,"Yes")/5</f>
        <v>1</v>
      </c>
      <c r="P92" s="67"/>
      <c r="Q92" s="71" t="s">
        <v>295</v>
      </c>
      <c r="R92" s="71" t="s">
        <v>296</v>
      </c>
      <c r="S92" s="86">
        <f t="shared" si="151"/>
        <v>18</v>
      </c>
    </row>
    <row r="93" spans="1:19" ht="15" customHeight="1" x14ac:dyDescent="0.25">
      <c r="A93" s="40"/>
      <c r="B93" s="41">
        <v>2</v>
      </c>
      <c r="C93" s="9" t="str">
        <f t="shared" ref="C93" si="217">CONCATENATE(A92,".",B93)</f>
        <v>19.2</v>
      </c>
      <c r="D93" s="25"/>
      <c r="E93" s="7"/>
      <c r="F93" s="6" t="s">
        <v>305</v>
      </c>
      <c r="G93" s="84">
        <f t="shared" ref="G93" si="218">FuzzyMatch(UPPER(E92),UPPER(F93))/100</f>
        <v>1</v>
      </c>
      <c r="H93" s="20"/>
      <c r="I93" s="53" t="str">
        <f t="shared" si="114"/>
        <v>15:16:51.669</v>
      </c>
      <c r="J93" s="54" t="str">
        <f t="shared" si="115"/>
        <v>15:16:55.548</v>
      </c>
      <c r="K93" s="46">
        <f>J93-I93</f>
        <v>4.4895833333336022E-5</v>
      </c>
      <c r="L93" s="74"/>
      <c r="M93" s="7"/>
      <c r="N93" s="17" t="s">
        <v>19</v>
      </c>
      <c r="O93" s="26"/>
      <c r="P93" s="41"/>
      <c r="Q93" s="71" t="s">
        <v>297</v>
      </c>
      <c r="R93" s="71" t="s">
        <v>298</v>
      </c>
      <c r="S93" s="86">
        <f t="shared" si="151"/>
        <v>18</v>
      </c>
    </row>
    <row r="94" spans="1:19" ht="15" customHeight="1" x14ac:dyDescent="0.25">
      <c r="A94" s="40"/>
      <c r="B94" s="41">
        <v>3</v>
      </c>
      <c r="C94" s="9" t="str">
        <f t="shared" ref="C94" si="219">CONCATENATE(A92,".",B94)</f>
        <v>19.3</v>
      </c>
      <c r="D94" s="25"/>
      <c r="E94" s="7"/>
      <c r="F94" s="6" t="s">
        <v>305</v>
      </c>
      <c r="G94" s="84">
        <f t="shared" ref="G94" si="220">FuzzyMatch(UPPER(E92),UPPER(F94))/100</f>
        <v>1</v>
      </c>
      <c r="H94" s="20"/>
      <c r="I94" s="53" t="str">
        <f t="shared" si="114"/>
        <v>15:17:31.812</v>
      </c>
      <c r="J94" s="54" t="str">
        <f t="shared" si="115"/>
        <v>15:17:35.372</v>
      </c>
      <c r="K94" s="46">
        <f>J94-I94</f>
        <v>4.1203703703751593E-5</v>
      </c>
      <c r="L94" s="74"/>
      <c r="M94" s="7"/>
      <c r="N94" s="17" t="s">
        <v>19</v>
      </c>
      <c r="O94" s="26"/>
      <c r="P94" s="41"/>
      <c r="Q94" s="71" t="s">
        <v>299</v>
      </c>
      <c r="R94" s="71" t="s">
        <v>300</v>
      </c>
      <c r="S94" s="86">
        <f t="shared" si="151"/>
        <v>18</v>
      </c>
    </row>
    <row r="95" spans="1:19" x14ac:dyDescent="0.25">
      <c r="A95" s="40"/>
      <c r="B95" s="41">
        <v>4</v>
      </c>
      <c r="C95" s="9" t="str">
        <f t="shared" ref="C95" si="221">CONCATENATE(A92,".",B95)</f>
        <v>19.4</v>
      </c>
      <c r="D95" s="25"/>
      <c r="E95" s="7"/>
      <c r="F95" s="6" t="s">
        <v>305</v>
      </c>
      <c r="G95" s="84">
        <f t="shared" ref="G95" si="222">FuzzyMatch(UPPER(E92),UPPER(F95))/100</f>
        <v>1</v>
      </c>
      <c r="H95" s="20"/>
      <c r="I95" s="53" t="str">
        <f t="shared" si="114"/>
        <v>15:17:59.381</v>
      </c>
      <c r="J95" s="54" t="str">
        <f t="shared" si="115"/>
        <v>15:18:03.758</v>
      </c>
      <c r="K95" s="46">
        <f>J95-I95</f>
        <v>5.0659722222179404E-5</v>
      </c>
      <c r="L95" s="74"/>
      <c r="M95" s="7"/>
      <c r="N95" s="17" t="s">
        <v>19</v>
      </c>
      <c r="O95" s="26"/>
      <c r="P95" s="41"/>
      <c r="Q95" s="71" t="s">
        <v>301</v>
      </c>
      <c r="R95" s="71" t="s">
        <v>302</v>
      </c>
      <c r="S95" s="86">
        <f t="shared" si="151"/>
        <v>18</v>
      </c>
    </row>
    <row r="96" spans="1:19" x14ac:dyDescent="0.25">
      <c r="A96" s="42"/>
      <c r="B96" s="30">
        <v>5</v>
      </c>
      <c r="C96" s="31" t="str">
        <f t="shared" ref="C96" si="223">CONCATENATE(A92,".",B96)</f>
        <v>19.5</v>
      </c>
      <c r="D96" s="68"/>
      <c r="E96" s="43"/>
      <c r="F96" s="32" t="s">
        <v>305</v>
      </c>
      <c r="G96" s="85">
        <f t="shared" ref="G96" si="224">FuzzyMatch(UPPER(E92),UPPER(F96))/100</f>
        <v>1</v>
      </c>
      <c r="H96" s="44"/>
      <c r="I96" s="51" t="str">
        <f t="shared" si="114"/>
        <v>15:18:27.948</v>
      </c>
      <c r="J96" s="52" t="str">
        <f t="shared" si="115"/>
        <v>15:18:32.070</v>
      </c>
      <c r="K96" s="47">
        <f>J96-I96</f>
        <v>4.7708333333340569E-5</v>
      </c>
      <c r="L96" s="75"/>
      <c r="M96" s="43"/>
      <c r="N96" s="11" t="s">
        <v>19</v>
      </c>
      <c r="O96" s="78"/>
      <c r="P96" s="30"/>
      <c r="Q96" s="71" t="s">
        <v>303</v>
      </c>
      <c r="R96" s="71" t="s">
        <v>304</v>
      </c>
      <c r="S96" s="86">
        <f t="shared" si="151"/>
        <v>18</v>
      </c>
    </row>
    <row r="97" spans="1:19" x14ac:dyDescent="0.25">
      <c r="A97" s="40">
        <v>20</v>
      </c>
      <c r="B97" s="41">
        <v>1</v>
      </c>
      <c r="C97" s="9" t="str">
        <f t="shared" ref="C97" si="225">CONCATENATE(A97,".",B97)</f>
        <v>20.1</v>
      </c>
      <c r="D97" s="25" t="s">
        <v>44</v>
      </c>
      <c r="E97" s="63" t="s">
        <v>36</v>
      </c>
      <c r="F97" s="70" t="s">
        <v>316</v>
      </c>
      <c r="G97" s="83">
        <f t="shared" ref="G97" si="226">FuzzyMatch(UPPER(E97),UPPER(F97))/100</f>
        <v>1</v>
      </c>
      <c r="H97" s="65">
        <f t="shared" ref="H97" si="227">AVERAGE(G97:G101)</f>
        <v>1</v>
      </c>
      <c r="I97" s="61" t="str">
        <f t="shared" si="114"/>
        <v>15:20:10.907</v>
      </c>
      <c r="J97" s="62" t="str">
        <f t="shared" si="115"/>
        <v>15:20:14.350</v>
      </c>
      <c r="K97" s="72">
        <f>J97-I97</f>
        <v>3.9849537037062177E-5</v>
      </c>
      <c r="L97" s="73">
        <f t="shared" ref="L97" si="228">AVERAGE(K97:K101)</f>
        <v>4.1581018518543897E-5</v>
      </c>
      <c r="M97" s="63" t="s">
        <v>52</v>
      </c>
      <c r="N97" s="66" t="s">
        <v>19</v>
      </c>
      <c r="O97" s="77">
        <f t="shared" ref="O97" si="229">COUNTIF(N97:N101,"Yes")/5</f>
        <v>1</v>
      </c>
      <c r="P97" s="67"/>
      <c r="Q97" s="71" t="s">
        <v>306</v>
      </c>
      <c r="R97" s="71" t="s">
        <v>307</v>
      </c>
      <c r="S97" s="86">
        <f t="shared" si="151"/>
        <v>6</v>
      </c>
    </row>
    <row r="98" spans="1:19" x14ac:dyDescent="0.25">
      <c r="A98" s="40"/>
      <c r="B98" s="41">
        <v>2</v>
      </c>
      <c r="C98" s="9" t="str">
        <f t="shared" ref="C98" si="230">CONCATENATE(A97,".",B98)</f>
        <v>20.2</v>
      </c>
      <c r="D98" s="25"/>
      <c r="E98" s="7"/>
      <c r="F98" s="6" t="s">
        <v>316</v>
      </c>
      <c r="G98" s="84">
        <f t="shared" ref="G98" si="231">FuzzyMatch(UPPER(E97),UPPER(F98))/100</f>
        <v>1</v>
      </c>
      <c r="H98" s="20"/>
      <c r="I98" s="53" t="str">
        <f t="shared" si="114"/>
        <v>15:20:24.169</v>
      </c>
      <c r="J98" s="54" t="str">
        <f t="shared" si="115"/>
        <v>15:20:27.743</v>
      </c>
      <c r="K98" s="46">
        <f>J98-I98</f>
        <v>4.1365740740761936E-5</v>
      </c>
      <c r="L98" s="74"/>
      <c r="M98" s="7"/>
      <c r="N98" s="17" t="s">
        <v>19</v>
      </c>
      <c r="O98" s="26"/>
      <c r="P98" s="41"/>
      <c r="Q98" s="71" t="s">
        <v>308</v>
      </c>
      <c r="R98" s="71" t="s">
        <v>309</v>
      </c>
      <c r="S98" s="86">
        <f t="shared" si="151"/>
        <v>6</v>
      </c>
    </row>
    <row r="99" spans="1:19" x14ac:dyDescent="0.25">
      <c r="A99" s="40"/>
      <c r="B99" s="41">
        <v>3</v>
      </c>
      <c r="C99" s="9" t="str">
        <f t="shared" ref="C99" si="232">CONCATENATE(A97,".",B99)</f>
        <v>20.3</v>
      </c>
      <c r="D99" s="25"/>
      <c r="E99" s="7"/>
      <c r="F99" s="6" t="s">
        <v>316</v>
      </c>
      <c r="G99" s="84">
        <f t="shared" ref="G99" si="233">FuzzyMatch(UPPER(E97),UPPER(F99))/100</f>
        <v>1</v>
      </c>
      <c r="H99" s="20"/>
      <c r="I99" s="53" t="str">
        <f t="shared" si="114"/>
        <v>15:20:44.029</v>
      </c>
      <c r="J99" s="54" t="str">
        <f t="shared" si="115"/>
        <v>15:20:47.611</v>
      </c>
      <c r="K99" s="46">
        <f>J99-I99</f>
        <v>4.1458333333355135E-5</v>
      </c>
      <c r="L99" s="74"/>
      <c r="M99" s="7"/>
      <c r="N99" s="17" t="s">
        <v>19</v>
      </c>
      <c r="O99" s="26"/>
      <c r="P99" s="41"/>
      <c r="Q99" s="71" t="s">
        <v>310</v>
      </c>
      <c r="R99" s="71" t="s">
        <v>311</v>
      </c>
      <c r="S99" s="86">
        <f t="shared" si="151"/>
        <v>6</v>
      </c>
    </row>
    <row r="100" spans="1:19" x14ac:dyDescent="0.25">
      <c r="A100" s="40"/>
      <c r="B100" s="41">
        <v>4</v>
      </c>
      <c r="C100" s="9" t="str">
        <f t="shared" ref="C100" si="234">CONCATENATE(A97,".",B100)</f>
        <v>20.4</v>
      </c>
      <c r="D100" s="25"/>
      <c r="E100" s="7"/>
      <c r="F100" s="6" t="s">
        <v>316</v>
      </c>
      <c r="G100" s="84">
        <f t="shared" ref="G100" si="235">FuzzyMatch(UPPER(E97),UPPER(F100))/100</f>
        <v>1</v>
      </c>
      <c r="H100" s="20"/>
      <c r="I100" s="53" t="str">
        <f t="shared" si="114"/>
        <v>15:20:56.768</v>
      </c>
      <c r="J100" s="54" t="str">
        <f t="shared" si="115"/>
        <v>15:21:00.468</v>
      </c>
      <c r="K100" s="46">
        <f>J100-I100</f>
        <v>4.282407407418809E-5</v>
      </c>
      <c r="L100" s="74"/>
      <c r="M100" s="7"/>
      <c r="N100" s="17" t="s">
        <v>19</v>
      </c>
      <c r="O100" s="26"/>
      <c r="P100" s="41"/>
      <c r="Q100" s="71" t="s">
        <v>312</v>
      </c>
      <c r="R100" s="71" t="s">
        <v>313</v>
      </c>
      <c r="S100" s="86">
        <f t="shared" si="151"/>
        <v>6</v>
      </c>
    </row>
    <row r="101" spans="1:19" x14ac:dyDescent="0.25">
      <c r="A101" s="42"/>
      <c r="B101" s="30">
        <v>5</v>
      </c>
      <c r="C101" s="31" t="str">
        <f t="shared" ref="C101" si="236">CONCATENATE(A97,".",B101)</f>
        <v>20.5</v>
      </c>
      <c r="D101" s="68"/>
      <c r="E101" s="43"/>
      <c r="F101" s="32" t="s">
        <v>316</v>
      </c>
      <c r="G101" s="85">
        <f t="shared" ref="G101" si="237">FuzzyMatch(UPPER(E97),UPPER(F101))/100</f>
        <v>1</v>
      </c>
      <c r="H101" s="44"/>
      <c r="I101" s="51" t="str">
        <f t="shared" si="114"/>
        <v>15:21:16.630</v>
      </c>
      <c r="J101" s="52" t="str">
        <f t="shared" si="115"/>
        <v>15:21:20.294</v>
      </c>
      <c r="K101" s="47">
        <f>J101-I101</f>
        <v>4.240740740735216E-5</v>
      </c>
      <c r="L101" s="75"/>
      <c r="M101" s="43"/>
      <c r="N101" s="11" t="s">
        <v>19</v>
      </c>
      <c r="O101" s="78"/>
      <c r="P101" s="30"/>
      <c r="Q101" s="71" t="s">
        <v>314</v>
      </c>
      <c r="R101" s="71" t="s">
        <v>315</v>
      </c>
      <c r="S101" s="86">
        <f t="shared" si="151"/>
        <v>6</v>
      </c>
    </row>
    <row r="102" spans="1:19" x14ac:dyDescent="0.25">
      <c r="A102" s="40">
        <v>21</v>
      </c>
      <c r="B102" s="41">
        <v>1</v>
      </c>
      <c r="C102" s="9" t="str">
        <f t="shared" ref="C102" si="238">CONCATENATE(A102,".",B102)</f>
        <v>21.1</v>
      </c>
      <c r="D102" s="25" t="s">
        <v>44</v>
      </c>
      <c r="E102" s="63" t="s">
        <v>37</v>
      </c>
      <c r="F102" s="70" t="s">
        <v>320</v>
      </c>
      <c r="G102" s="83">
        <f t="shared" ref="G102" si="239">FuzzyMatch(UPPER(E102),UPPER(F102))/100</f>
        <v>1</v>
      </c>
      <c r="H102" s="65">
        <f t="shared" ref="H102" si="240">AVERAGE(G102:G106)</f>
        <v>0.8</v>
      </c>
      <c r="I102" s="61" t="str">
        <f t="shared" si="114"/>
        <v>15:21:29.464</v>
      </c>
      <c r="J102" s="62" t="str">
        <f t="shared" si="115"/>
        <v>15:21:32.994</v>
      </c>
      <c r="K102" s="72">
        <f>J102-I102</f>
        <v>4.0856481481554852E-5</v>
      </c>
      <c r="L102" s="73">
        <f t="shared" ref="L102" si="241">AVERAGE(K102:K106)</f>
        <v>3.9391203703753595E-5</v>
      </c>
      <c r="M102" s="63" t="s">
        <v>58</v>
      </c>
      <c r="N102" s="66" t="s">
        <v>19</v>
      </c>
      <c r="O102" s="77">
        <f t="shared" ref="O102" si="242">COUNTIF(N102:N106,"Yes")/5</f>
        <v>0.8</v>
      </c>
      <c r="P102" s="67"/>
      <c r="Q102" s="71" t="s">
        <v>317</v>
      </c>
      <c r="R102" s="71" t="s">
        <v>318</v>
      </c>
      <c r="S102" s="86">
        <f t="shared" si="151"/>
        <v>5</v>
      </c>
    </row>
    <row r="103" spans="1:19" x14ac:dyDescent="0.25">
      <c r="A103" s="40"/>
      <c r="B103" s="41">
        <v>2</v>
      </c>
      <c r="C103" s="9" t="str">
        <f t="shared" ref="C103" si="243">CONCATENATE(A102,".",B103)</f>
        <v>21.2</v>
      </c>
      <c r="D103" s="25"/>
      <c r="E103" s="7"/>
      <c r="F103" s="6" t="s">
        <v>228</v>
      </c>
      <c r="G103" s="84">
        <f t="shared" ref="G103" si="244">FuzzyMatch(UPPER(E102),UPPER(F103))/100</f>
        <v>0</v>
      </c>
      <c r="H103" s="20"/>
      <c r="I103" s="53" t="str">
        <f t="shared" si="114"/>
        <v>15:21:42.458</v>
      </c>
      <c r="J103" s="54" t="str">
        <f t="shared" si="115"/>
        <v>15:21:44.917</v>
      </c>
      <c r="K103" s="46">
        <f>J103-I103</f>
        <v>2.84606481482097E-5</v>
      </c>
      <c r="L103" s="74"/>
      <c r="M103" s="7"/>
      <c r="N103" s="17" t="s">
        <v>20</v>
      </c>
      <c r="O103" s="26"/>
      <c r="P103" s="41" t="s">
        <v>339</v>
      </c>
      <c r="Q103" s="71" t="s">
        <v>319</v>
      </c>
      <c r="R103" s="71" t="s">
        <v>321</v>
      </c>
      <c r="S103" s="86">
        <f t="shared" si="151"/>
        <v>2</v>
      </c>
    </row>
    <row r="104" spans="1:19" x14ac:dyDescent="0.25">
      <c r="A104" s="40"/>
      <c r="B104" s="41">
        <v>3</v>
      </c>
      <c r="C104" s="9" t="str">
        <f t="shared" ref="C104" si="245">CONCATENATE(A102,".",B104)</f>
        <v>21.3</v>
      </c>
      <c r="D104" s="25"/>
      <c r="E104" s="7"/>
      <c r="F104" s="6" t="s">
        <v>320</v>
      </c>
      <c r="G104" s="84">
        <f t="shared" ref="G104" si="246">FuzzyMatch(UPPER(E102),UPPER(F104))/100</f>
        <v>1</v>
      </c>
      <c r="H104" s="20"/>
      <c r="I104" s="53" t="str">
        <f t="shared" si="114"/>
        <v>15:21:49.254</v>
      </c>
      <c r="J104" s="54" t="str">
        <f t="shared" si="115"/>
        <v>15:21:52.990</v>
      </c>
      <c r="K104" s="46">
        <f>J104-I104</f>
        <v>4.3240740740801975E-5</v>
      </c>
      <c r="L104" s="74"/>
      <c r="M104" s="7"/>
      <c r="N104" s="17" t="s">
        <v>19</v>
      </c>
      <c r="O104" s="26"/>
      <c r="P104" s="41"/>
      <c r="Q104" s="71" t="s">
        <v>322</v>
      </c>
      <c r="R104" s="71" t="s">
        <v>323</v>
      </c>
      <c r="S104" s="86">
        <f t="shared" si="151"/>
        <v>5</v>
      </c>
    </row>
    <row r="105" spans="1:19" x14ac:dyDescent="0.25">
      <c r="A105" s="40"/>
      <c r="B105" s="41">
        <v>4</v>
      </c>
      <c r="C105" s="9" t="str">
        <f t="shared" ref="C105" si="247">CONCATENATE(A102,".",B105)</f>
        <v>21.4</v>
      </c>
      <c r="D105" s="25"/>
      <c r="E105" s="7"/>
      <c r="F105" s="6" t="s">
        <v>320</v>
      </c>
      <c r="G105" s="84">
        <f t="shared" ref="G105" si="248">FuzzyMatch(UPPER(E102),UPPER(F105))/100</f>
        <v>1</v>
      </c>
      <c r="H105" s="20"/>
      <c r="I105" s="53" t="str">
        <f t="shared" si="114"/>
        <v>15:22:20.638</v>
      </c>
      <c r="J105" s="54" t="str">
        <f t="shared" si="115"/>
        <v>15:22:24.370</v>
      </c>
      <c r="K105" s="46">
        <f>J105-I105</f>
        <v>4.3194444444560887E-5</v>
      </c>
      <c r="L105" s="74"/>
      <c r="M105" s="7"/>
      <c r="N105" s="17" t="s">
        <v>19</v>
      </c>
      <c r="O105" s="26"/>
      <c r="P105" s="41"/>
      <c r="Q105" s="71" t="s">
        <v>324</v>
      </c>
      <c r="R105" s="71" t="s">
        <v>327</v>
      </c>
      <c r="S105" s="86">
        <f t="shared" si="151"/>
        <v>5</v>
      </c>
    </row>
    <row r="106" spans="1:19" x14ac:dyDescent="0.25">
      <c r="A106" s="42"/>
      <c r="B106" s="30">
        <v>5</v>
      </c>
      <c r="C106" s="31" t="str">
        <f t="shared" ref="C106" si="249">CONCATENATE(A102,".",B106)</f>
        <v>21.5</v>
      </c>
      <c r="D106" s="68"/>
      <c r="E106" s="43"/>
      <c r="F106" s="32" t="s">
        <v>320</v>
      </c>
      <c r="G106" s="85">
        <f t="shared" ref="G106" si="250">FuzzyMatch(UPPER(E102),UPPER(F106))/100</f>
        <v>1</v>
      </c>
      <c r="H106" s="44"/>
      <c r="I106" s="51" t="str">
        <f t="shared" si="114"/>
        <v>15:22:33.793</v>
      </c>
      <c r="J106" s="52" t="str">
        <f t="shared" si="115"/>
        <v>15:22:37.353</v>
      </c>
      <c r="K106" s="47">
        <f>J106-I106</f>
        <v>4.1203703703640571E-5</v>
      </c>
      <c r="L106" s="75"/>
      <c r="M106" s="43"/>
      <c r="N106" s="11" t="s">
        <v>19</v>
      </c>
      <c r="O106" s="78"/>
      <c r="P106" s="30"/>
      <c r="Q106" s="71" t="s">
        <v>325</v>
      </c>
      <c r="R106" s="71" t="s">
        <v>326</v>
      </c>
      <c r="S106" s="86">
        <f t="shared" si="151"/>
        <v>5</v>
      </c>
    </row>
    <row r="107" spans="1:19" x14ac:dyDescent="0.25">
      <c r="A107" s="40">
        <v>22</v>
      </c>
      <c r="B107" s="41">
        <v>1</v>
      </c>
      <c r="C107" s="9" t="str">
        <f t="shared" ref="C107" si="251">CONCATENATE(A107,".",B107)</f>
        <v>22.1</v>
      </c>
      <c r="D107" s="25" t="s">
        <v>44</v>
      </c>
      <c r="E107" s="63" t="s">
        <v>38</v>
      </c>
      <c r="F107" s="70" t="s">
        <v>338</v>
      </c>
      <c r="G107" s="83">
        <f t="shared" ref="G107" si="252">FuzzyMatch(UPPER(E107),UPPER(F107))/100</f>
        <v>1</v>
      </c>
      <c r="H107" s="65">
        <f t="shared" ref="H107" si="253">AVERAGE(G107:G111)</f>
        <v>1</v>
      </c>
      <c r="I107" s="61" t="str">
        <f t="shared" si="114"/>
        <v>15:33:02.511</v>
      </c>
      <c r="J107" s="62" t="str">
        <f t="shared" si="115"/>
        <v>15:33:06.135</v>
      </c>
      <c r="K107" s="72">
        <f>J107-I107</f>
        <v>4.1944444444386164E-5</v>
      </c>
      <c r="L107" s="73">
        <f t="shared" ref="L107" si="254">AVERAGE(K107:K111)</f>
        <v>4.9143518518501851E-5</v>
      </c>
      <c r="M107" s="63" t="s">
        <v>59</v>
      </c>
      <c r="N107" s="66" t="s">
        <v>19</v>
      </c>
      <c r="O107" s="77">
        <f t="shared" ref="O107" si="255">COUNTIF(N107:N111,"Yes")/5</f>
        <v>1</v>
      </c>
      <c r="P107" s="67"/>
      <c r="Q107" s="71" t="s">
        <v>328</v>
      </c>
      <c r="R107" s="71" t="s">
        <v>329</v>
      </c>
      <c r="S107" s="86">
        <f t="shared" si="151"/>
        <v>8</v>
      </c>
    </row>
    <row r="108" spans="1:19" x14ac:dyDescent="0.25">
      <c r="A108" s="40"/>
      <c r="B108" s="41">
        <v>2</v>
      </c>
      <c r="C108" s="9" t="str">
        <f t="shared" ref="C108" si="256">CONCATENATE(A107,".",B108)</f>
        <v>22.2</v>
      </c>
      <c r="D108" s="25"/>
      <c r="E108" s="7"/>
      <c r="F108" s="6" t="s">
        <v>338</v>
      </c>
      <c r="G108" s="84">
        <f t="shared" ref="G108" si="257">FuzzyMatch(UPPER(E107),UPPER(F108))/100</f>
        <v>1</v>
      </c>
      <c r="H108" s="20"/>
      <c r="I108" s="53" t="str">
        <f t="shared" si="114"/>
        <v>15:33:22.610</v>
      </c>
      <c r="J108" s="54" t="str">
        <f t="shared" si="115"/>
        <v>15:33:26.675</v>
      </c>
      <c r="K108" s="46">
        <f>J108-I108</f>
        <v>4.7048611111044636E-5</v>
      </c>
      <c r="L108" s="74"/>
      <c r="M108" s="7"/>
      <c r="N108" s="17" t="s">
        <v>19</v>
      </c>
      <c r="O108" s="26"/>
      <c r="P108" s="41"/>
      <c r="Q108" s="71" t="s">
        <v>330</v>
      </c>
      <c r="R108" s="71" t="s">
        <v>331</v>
      </c>
      <c r="S108" s="86">
        <f t="shared" si="151"/>
        <v>8</v>
      </c>
    </row>
    <row r="109" spans="1:19" x14ac:dyDescent="0.25">
      <c r="A109" s="40"/>
      <c r="B109" s="41">
        <v>3</v>
      </c>
      <c r="C109" s="9" t="str">
        <f t="shared" ref="C109" si="258">CONCATENATE(A107,".",B109)</f>
        <v>22.3</v>
      </c>
      <c r="D109" s="25"/>
      <c r="E109" s="7"/>
      <c r="F109" s="6" t="s">
        <v>338</v>
      </c>
      <c r="G109" s="84">
        <f t="shared" ref="G109" si="259">FuzzyMatch(UPPER(E107),UPPER(F109))/100</f>
        <v>1</v>
      </c>
      <c r="H109" s="20"/>
      <c r="I109" s="53" t="str">
        <f t="shared" si="114"/>
        <v>15:33:43.069</v>
      </c>
      <c r="J109" s="54" t="str">
        <f t="shared" si="115"/>
        <v>15:33:47.663</v>
      </c>
      <c r="K109" s="46">
        <f>J109-I109</f>
        <v>5.3171296296339321E-5</v>
      </c>
      <c r="L109" s="74"/>
      <c r="M109" s="7"/>
      <c r="N109" s="17" t="s">
        <v>19</v>
      </c>
      <c r="O109" s="26"/>
      <c r="P109" s="41"/>
      <c r="Q109" s="71" t="s">
        <v>332</v>
      </c>
      <c r="R109" s="71" t="s">
        <v>333</v>
      </c>
      <c r="S109" s="86">
        <f t="shared" si="151"/>
        <v>8</v>
      </c>
    </row>
    <row r="110" spans="1:19" x14ac:dyDescent="0.25">
      <c r="A110" s="40"/>
      <c r="B110" s="41">
        <v>4</v>
      </c>
      <c r="C110" s="9" t="str">
        <f t="shared" ref="C110" si="260">CONCATENATE(A107,".",B110)</f>
        <v>22.4</v>
      </c>
      <c r="D110" s="25"/>
      <c r="E110" s="7"/>
      <c r="F110" s="6" t="s">
        <v>338</v>
      </c>
      <c r="G110" s="84">
        <f t="shared" ref="G110" si="261">FuzzyMatch(UPPER(E107),UPPER(F110))/100</f>
        <v>1</v>
      </c>
      <c r="H110" s="20"/>
      <c r="I110" s="53" t="str">
        <f t="shared" si="114"/>
        <v>15:34:04.791</v>
      </c>
      <c r="J110" s="54" t="str">
        <f t="shared" si="115"/>
        <v>15:34:09.400</v>
      </c>
      <c r="K110" s="46">
        <f>J110-I110</f>
        <v>5.3344907407382181E-5</v>
      </c>
      <c r="L110" s="74"/>
      <c r="M110" s="7"/>
      <c r="N110" s="17" t="s">
        <v>19</v>
      </c>
      <c r="O110" s="26"/>
      <c r="P110" s="41"/>
      <c r="Q110" s="71" t="s">
        <v>337</v>
      </c>
      <c r="R110" s="71" t="s">
        <v>336</v>
      </c>
      <c r="S110" s="86">
        <f t="shared" si="151"/>
        <v>8</v>
      </c>
    </row>
    <row r="111" spans="1:19" x14ac:dyDescent="0.25">
      <c r="A111" s="42"/>
      <c r="B111" s="30">
        <v>5</v>
      </c>
      <c r="C111" s="31" t="str">
        <f t="shared" ref="C111" si="262">CONCATENATE(A107,".",B111)</f>
        <v>22.5</v>
      </c>
      <c r="D111" s="68"/>
      <c r="E111" s="43"/>
      <c r="F111" s="32" t="s">
        <v>338</v>
      </c>
      <c r="G111" s="85">
        <f t="shared" ref="G111" si="263">FuzzyMatch(UPPER(E107),UPPER(F111))/100</f>
        <v>1</v>
      </c>
      <c r="H111" s="44"/>
      <c r="I111" s="51" t="str">
        <f t="shared" si="114"/>
        <v>15:34:26.319</v>
      </c>
      <c r="J111" s="52" t="str">
        <f t="shared" si="115"/>
        <v>15:34:30.657</v>
      </c>
      <c r="K111" s="47">
        <f>J111-I111</f>
        <v>5.0208333333356947E-5</v>
      </c>
      <c r="L111" s="75"/>
      <c r="M111" s="43"/>
      <c r="N111" s="11" t="s">
        <v>19</v>
      </c>
      <c r="O111" s="78"/>
      <c r="P111" s="30"/>
      <c r="Q111" s="71" t="s">
        <v>335</v>
      </c>
      <c r="R111" s="71" t="s">
        <v>334</v>
      </c>
      <c r="S111" s="86">
        <f t="shared" si="151"/>
        <v>8</v>
      </c>
    </row>
    <row r="112" spans="1:19" x14ac:dyDescent="0.25">
      <c r="A112" s="40">
        <v>23</v>
      </c>
      <c r="B112" s="41">
        <v>1</v>
      </c>
      <c r="C112" s="9" t="str">
        <f t="shared" ref="C112" si="264">CONCATENATE(A112,".",B112)</f>
        <v>23.1</v>
      </c>
      <c r="D112" s="25" t="s">
        <v>44</v>
      </c>
      <c r="E112" s="63" t="s">
        <v>39</v>
      </c>
      <c r="F112" s="70" t="s">
        <v>342</v>
      </c>
      <c r="G112" s="83">
        <f t="shared" ref="G112" si="265">FuzzyMatch(UPPER(E112),UPPER(F112))/100</f>
        <v>1</v>
      </c>
      <c r="H112" s="65">
        <f t="shared" ref="H112" si="266">AVERAGE(G112:G116)</f>
        <v>1</v>
      </c>
      <c r="I112" s="61" t="str">
        <f t="shared" si="114"/>
        <v>15:36:16.348</v>
      </c>
      <c r="J112" s="62" t="str">
        <f t="shared" si="115"/>
        <v>15:36:19.396</v>
      </c>
      <c r="K112" s="72">
        <f>J112-I112</f>
        <v>3.5277777777786845E-5</v>
      </c>
      <c r="L112" s="73">
        <f t="shared" ref="L112" si="267">AVERAGE(K112:K116)</f>
        <v>4.1520833333352772E-5</v>
      </c>
      <c r="M112" s="63" t="s">
        <v>60</v>
      </c>
      <c r="N112" s="66" t="s">
        <v>19</v>
      </c>
      <c r="O112" s="77">
        <f t="shared" ref="O112" si="268">COUNTIF(N112:N116,"Yes")/5</f>
        <v>1</v>
      </c>
      <c r="P112" s="67"/>
      <c r="Q112" s="71" t="s">
        <v>340</v>
      </c>
      <c r="R112" s="71" t="s">
        <v>341</v>
      </c>
      <c r="S112" s="86">
        <f t="shared" si="151"/>
        <v>12</v>
      </c>
    </row>
    <row r="113" spans="1:19" x14ac:dyDescent="0.25">
      <c r="A113" s="40"/>
      <c r="B113" s="41">
        <v>2</v>
      </c>
      <c r="C113" s="9" t="str">
        <f t="shared" ref="C113" si="269">CONCATENATE(A112,".",B113)</f>
        <v>23.2</v>
      </c>
      <c r="D113" s="25"/>
      <c r="E113" s="7"/>
      <c r="F113" s="6" t="s">
        <v>342</v>
      </c>
      <c r="G113" s="84">
        <f t="shared" ref="G113" si="270">FuzzyMatch(UPPER(E112),UPPER(F113))/100</f>
        <v>1</v>
      </c>
      <c r="H113" s="20"/>
      <c r="I113" s="53" t="str">
        <f t="shared" si="114"/>
        <v>15:37:00.052</v>
      </c>
      <c r="J113" s="54" t="str">
        <f t="shared" si="115"/>
        <v>15:37:03.690</v>
      </c>
      <c r="K113" s="46">
        <f>J113-I113</f>
        <v>4.2106481481507529E-5</v>
      </c>
      <c r="L113" s="74"/>
      <c r="M113" s="7"/>
      <c r="N113" s="17" t="s">
        <v>19</v>
      </c>
      <c r="O113" s="26"/>
      <c r="P113" s="41"/>
      <c r="Q113" s="71" t="s">
        <v>343</v>
      </c>
      <c r="R113" s="71" t="s">
        <v>344</v>
      </c>
      <c r="S113" s="86">
        <f t="shared" si="151"/>
        <v>12</v>
      </c>
    </row>
    <row r="114" spans="1:19" x14ac:dyDescent="0.25">
      <c r="A114" s="40"/>
      <c r="B114" s="41">
        <v>3</v>
      </c>
      <c r="C114" s="9" t="str">
        <f t="shared" ref="C114" si="271">CONCATENATE(A112,".",B114)</f>
        <v>23.3</v>
      </c>
      <c r="D114" s="25"/>
      <c r="E114" s="7"/>
      <c r="F114" s="6" t="s">
        <v>342</v>
      </c>
      <c r="G114" s="84">
        <f t="shared" ref="G114" si="272">FuzzyMatch(UPPER(E112),UPPER(F114))/100</f>
        <v>1</v>
      </c>
      <c r="H114" s="20"/>
      <c r="I114" s="53" t="str">
        <f t="shared" si="114"/>
        <v>15:37:41.833</v>
      </c>
      <c r="J114" s="54" t="str">
        <f t="shared" si="115"/>
        <v>15:37:45.719</v>
      </c>
      <c r="K114" s="46">
        <f>J114-I114</f>
        <v>4.4976851851896704E-5</v>
      </c>
      <c r="L114" s="74"/>
      <c r="M114" s="7"/>
      <c r="N114" s="17" t="s">
        <v>19</v>
      </c>
      <c r="O114" s="26"/>
      <c r="P114" s="41"/>
      <c r="Q114" s="71" t="s">
        <v>345</v>
      </c>
      <c r="R114" s="71" t="s">
        <v>346</v>
      </c>
      <c r="S114" s="86">
        <f t="shared" si="151"/>
        <v>12</v>
      </c>
    </row>
    <row r="115" spans="1:19" x14ac:dyDescent="0.25">
      <c r="A115" s="40"/>
      <c r="B115" s="41">
        <v>4</v>
      </c>
      <c r="C115" s="9" t="str">
        <f t="shared" ref="C115" si="273">CONCATENATE(A112,".",B115)</f>
        <v>23.4</v>
      </c>
      <c r="D115" s="25"/>
      <c r="E115" s="7"/>
      <c r="F115" s="6" t="s">
        <v>342</v>
      </c>
      <c r="G115" s="84">
        <f t="shared" ref="G115" si="274">FuzzyMatch(UPPER(E112),UPPER(F115))/100</f>
        <v>1</v>
      </c>
      <c r="H115" s="20"/>
      <c r="I115" s="53" t="str">
        <f t="shared" si="114"/>
        <v>15:38:21.466</v>
      </c>
      <c r="J115" s="54" t="str">
        <f t="shared" si="115"/>
        <v>15:38:25.204</v>
      </c>
      <c r="K115" s="46">
        <f>J115-I115</f>
        <v>4.3263888888867008E-5</v>
      </c>
      <c r="L115" s="74"/>
      <c r="M115" s="7"/>
      <c r="N115" s="17" t="s">
        <v>19</v>
      </c>
      <c r="O115" s="26"/>
      <c r="P115" s="41"/>
      <c r="Q115" s="71" t="s">
        <v>347</v>
      </c>
      <c r="R115" s="71" t="s">
        <v>348</v>
      </c>
      <c r="S115" s="86">
        <f t="shared" si="151"/>
        <v>12</v>
      </c>
    </row>
    <row r="116" spans="1:19" x14ac:dyDescent="0.25">
      <c r="A116" s="42"/>
      <c r="B116" s="30">
        <v>5</v>
      </c>
      <c r="C116" s="31" t="str">
        <f t="shared" ref="C116" si="275">CONCATENATE(A112,".",B116)</f>
        <v>23.5</v>
      </c>
      <c r="D116" s="68"/>
      <c r="E116" s="43"/>
      <c r="F116" s="6" t="s">
        <v>342</v>
      </c>
      <c r="G116" s="85">
        <f t="shared" ref="G116" si="276">FuzzyMatch(UPPER(E112),UPPER(F116))/100</f>
        <v>1</v>
      </c>
      <c r="H116" s="44"/>
      <c r="I116" s="51" t="str">
        <f t="shared" si="114"/>
        <v>15:39:16.647</v>
      </c>
      <c r="J116" s="52" t="str">
        <f t="shared" si="115"/>
        <v>15:39:20.274</v>
      </c>
      <c r="K116" s="47">
        <f>J116-I116</f>
        <v>4.1979166666705758E-5</v>
      </c>
      <c r="L116" s="75"/>
      <c r="M116" s="43"/>
      <c r="N116" s="17" t="s">
        <v>19</v>
      </c>
      <c r="O116" s="78"/>
      <c r="P116" s="30"/>
      <c r="Q116" s="71" t="s">
        <v>349</v>
      </c>
      <c r="R116" s="71" t="s">
        <v>350</v>
      </c>
      <c r="S116" s="86">
        <f t="shared" si="151"/>
        <v>12</v>
      </c>
    </row>
    <row r="117" spans="1:19" x14ac:dyDescent="0.25">
      <c r="A117" s="40">
        <v>24</v>
      </c>
      <c r="B117" s="41">
        <v>1</v>
      </c>
      <c r="C117" s="9" t="str">
        <f t="shared" ref="C117" si="277">CONCATENATE(A117,".",B117)</f>
        <v>24.1</v>
      </c>
      <c r="D117" s="25" t="s">
        <v>24</v>
      </c>
      <c r="E117" s="63" t="s">
        <v>40</v>
      </c>
      <c r="F117" s="70" t="s">
        <v>351</v>
      </c>
      <c r="G117" s="83">
        <f>FuzzyMatch(UPPER(E117),UPPER(F117))/100</f>
        <v>1</v>
      </c>
      <c r="H117" s="65">
        <f t="shared" ref="H117" si="278">AVERAGE(G117:G121)</f>
        <v>1</v>
      </c>
      <c r="I117" s="61" t="str">
        <f t="shared" si="114"/>
        <v>15:40:17.240</v>
      </c>
      <c r="J117" s="62" t="str">
        <f t="shared" si="115"/>
        <v>15:40:20.410</v>
      </c>
      <c r="K117" s="72">
        <f>J117-I117</f>
        <v>3.6689814814860888E-5</v>
      </c>
      <c r="L117" s="73">
        <f t="shared" ref="L117" si="279">AVERAGE(K117:K121)</f>
        <v>3.9650462962992353E-5</v>
      </c>
      <c r="M117" s="63" t="s">
        <v>61</v>
      </c>
      <c r="N117" s="66" t="s">
        <v>19</v>
      </c>
      <c r="O117" s="77">
        <f t="shared" ref="O117" si="280">COUNTIF(N117:N121,"Yes")/5</f>
        <v>1</v>
      </c>
      <c r="P117" s="67"/>
      <c r="Q117" s="71" t="s">
        <v>352</v>
      </c>
      <c r="R117" s="71" t="s">
        <v>353</v>
      </c>
      <c r="S117" s="86">
        <f t="shared" si="151"/>
        <v>11</v>
      </c>
    </row>
    <row r="118" spans="1:19" x14ac:dyDescent="0.25">
      <c r="A118" s="40"/>
      <c r="B118" s="41">
        <v>2</v>
      </c>
      <c r="C118" s="9" t="str">
        <f t="shared" ref="C118" si="281">CONCATENATE(A117,".",B118)</f>
        <v>24.2</v>
      </c>
      <c r="D118" s="25"/>
      <c r="E118" s="7"/>
      <c r="F118" s="6" t="s">
        <v>351</v>
      </c>
      <c r="G118" s="84">
        <f>FuzzyMatch(UPPER(E117),UPPER(F118))/100</f>
        <v>1</v>
      </c>
      <c r="H118" s="20"/>
      <c r="I118" s="53" t="str">
        <f t="shared" ref="I118:I131" si="282">SUBSTITUTE(Q118,",",".")</f>
        <v>15:40:23.634</v>
      </c>
      <c r="J118" s="54" t="str">
        <f t="shared" ref="J118:J131" si="283">SUBSTITUTE(R118,",",".")</f>
        <v>15:40:26.872</v>
      </c>
      <c r="K118" s="46">
        <f>J118-I118</f>
        <v>3.747685185184757E-5</v>
      </c>
      <c r="L118" s="74"/>
      <c r="M118" s="7"/>
      <c r="N118" s="17" t="s">
        <v>19</v>
      </c>
      <c r="O118" s="26"/>
      <c r="P118" s="41"/>
      <c r="Q118" s="71" t="s">
        <v>354</v>
      </c>
      <c r="R118" s="71" t="s">
        <v>355</v>
      </c>
      <c r="S118" s="86">
        <f t="shared" si="151"/>
        <v>11</v>
      </c>
    </row>
    <row r="119" spans="1:19" x14ac:dyDescent="0.25">
      <c r="A119" s="40"/>
      <c r="B119" s="41">
        <v>3</v>
      </c>
      <c r="C119" s="9" t="str">
        <f t="shared" ref="C119" si="284">CONCATENATE(A117,".",B119)</f>
        <v>24.3</v>
      </c>
      <c r="D119" s="25"/>
      <c r="E119" s="7"/>
      <c r="F119" s="6" t="s">
        <v>351</v>
      </c>
      <c r="G119" s="84">
        <f>FuzzyMatch(UPPER(E117),UPPER(F119))/100</f>
        <v>1</v>
      </c>
      <c r="H119" s="20"/>
      <c r="I119" s="53" t="str">
        <f t="shared" si="282"/>
        <v>15:40:29.764</v>
      </c>
      <c r="J119" s="54" t="str">
        <f t="shared" si="283"/>
        <v>15:40:32.928</v>
      </c>
      <c r="K119" s="46">
        <f>J119-I119</f>
        <v>3.6620370370443744E-5</v>
      </c>
      <c r="L119" s="74"/>
      <c r="M119" s="7"/>
      <c r="N119" s="17" t="s">
        <v>19</v>
      </c>
      <c r="O119" s="26"/>
      <c r="P119" s="41"/>
      <c r="Q119" s="71" t="s">
        <v>356</v>
      </c>
      <c r="R119" s="71" t="s">
        <v>357</v>
      </c>
      <c r="S119" s="86">
        <f t="shared" si="151"/>
        <v>11</v>
      </c>
    </row>
    <row r="120" spans="1:19" x14ac:dyDescent="0.25">
      <c r="A120" s="40"/>
      <c r="B120" s="41">
        <v>4</v>
      </c>
      <c r="C120" s="9" t="str">
        <f t="shared" ref="C120" si="285">CONCATENATE(A117,".",B120)</f>
        <v>24.4</v>
      </c>
      <c r="D120" s="25"/>
      <c r="E120" s="7"/>
      <c r="F120" s="6" t="s">
        <v>351</v>
      </c>
      <c r="G120" s="84">
        <f>FuzzyMatch(UPPER(E117),UPPER(F120))/100</f>
        <v>1</v>
      </c>
      <c r="H120" s="20"/>
      <c r="I120" s="53" t="str">
        <f t="shared" si="282"/>
        <v>15:40:35.481</v>
      </c>
      <c r="J120" s="54" t="str">
        <f t="shared" si="283"/>
        <v>15:40:38.777</v>
      </c>
      <c r="K120" s="46">
        <f>J120-I120</f>
        <v>3.814814814817602E-5</v>
      </c>
      <c r="L120" s="74"/>
      <c r="M120" s="7"/>
      <c r="N120" s="17" t="s">
        <v>19</v>
      </c>
      <c r="O120" s="26"/>
      <c r="P120" s="41"/>
      <c r="Q120" s="71" t="s">
        <v>358</v>
      </c>
      <c r="R120" s="71" t="s">
        <v>359</v>
      </c>
      <c r="S120" s="86">
        <f t="shared" si="151"/>
        <v>11</v>
      </c>
    </row>
    <row r="121" spans="1:19" x14ac:dyDescent="0.25">
      <c r="A121" s="42"/>
      <c r="B121" s="30">
        <v>5</v>
      </c>
      <c r="C121" s="31" t="str">
        <f t="shared" ref="C121" si="286">CONCATENATE(A117,".",B121)</f>
        <v>24.5</v>
      </c>
      <c r="D121" s="68"/>
      <c r="E121" s="43"/>
      <c r="F121" s="6" t="s">
        <v>351</v>
      </c>
      <c r="G121" s="85">
        <f>FuzzyMatch(UPPER(E117),UPPER(F121))/100</f>
        <v>1</v>
      </c>
      <c r="H121" s="44"/>
      <c r="I121" s="51" t="str">
        <f t="shared" si="282"/>
        <v>15:40:41.037</v>
      </c>
      <c r="J121" s="52" t="str">
        <f t="shared" si="283"/>
        <v>15:40:45.298</v>
      </c>
      <c r="K121" s="47">
        <f>J121-I121</f>
        <v>4.9317129629633527E-5</v>
      </c>
      <c r="L121" s="75"/>
      <c r="M121" s="43"/>
      <c r="N121" s="11" t="s">
        <v>19</v>
      </c>
      <c r="O121" s="78"/>
      <c r="P121" s="30"/>
      <c r="Q121" s="71" t="s">
        <v>360</v>
      </c>
      <c r="R121" s="71" t="s">
        <v>361</v>
      </c>
      <c r="S121" s="86">
        <f t="shared" si="151"/>
        <v>11</v>
      </c>
    </row>
    <row r="122" spans="1:19" x14ac:dyDescent="0.25">
      <c r="A122" s="40">
        <v>25</v>
      </c>
      <c r="B122" s="41">
        <v>1</v>
      </c>
      <c r="C122" s="9" t="str">
        <f t="shared" ref="C122" si="287">CONCATENATE(A122,".",B122)</f>
        <v>25.1</v>
      </c>
      <c r="D122" s="25" t="s">
        <v>24</v>
      </c>
      <c r="E122" s="63" t="s">
        <v>41</v>
      </c>
      <c r="F122" s="70" t="s">
        <v>362</v>
      </c>
      <c r="G122" s="83">
        <f>FuzzyMatch(UPPER(E122),UPPER(F122))/100</f>
        <v>0.36</v>
      </c>
      <c r="H122" s="65">
        <f t="shared" ref="H122" si="288">AVERAGE(G122:G126)</f>
        <v>0.43600000000000005</v>
      </c>
      <c r="I122" s="61" t="str">
        <f t="shared" si="282"/>
        <v>15:42:46.307</v>
      </c>
      <c r="J122" s="62" t="str">
        <f t="shared" si="283"/>
        <v>15:42:49.678</v>
      </c>
      <c r="K122" s="72">
        <f>J122-I122</f>
        <v>3.9016203703723384E-5</v>
      </c>
      <c r="L122" s="73">
        <f t="shared" ref="L122" si="289">AVERAGE(K122:K126)</f>
        <v>3.9793981481484054E-5</v>
      </c>
      <c r="M122" s="63" t="s">
        <v>62</v>
      </c>
      <c r="N122" s="66" t="s">
        <v>20</v>
      </c>
      <c r="O122" s="77">
        <f t="shared" ref="O122" si="290">COUNTIF(N122:N126,"Yes")/5</f>
        <v>0.4</v>
      </c>
      <c r="P122" s="67"/>
      <c r="Q122" s="71" t="s">
        <v>366</v>
      </c>
      <c r="R122" s="71" t="s">
        <v>375</v>
      </c>
      <c r="S122" s="86">
        <f t="shared" si="151"/>
        <v>12</v>
      </c>
    </row>
    <row r="123" spans="1:19" x14ac:dyDescent="0.25">
      <c r="A123" s="40"/>
      <c r="B123" s="41">
        <v>2</v>
      </c>
      <c r="C123" s="9" t="str">
        <f t="shared" ref="C123" si="291">CONCATENATE(A122,".",B123)</f>
        <v>25.2</v>
      </c>
      <c r="D123" s="25"/>
      <c r="E123" s="7"/>
      <c r="F123" s="6" t="s">
        <v>363</v>
      </c>
      <c r="G123" s="84">
        <f>FuzzyMatch(UPPER(E122),UPPER(F123))/100</f>
        <v>0</v>
      </c>
      <c r="H123" s="20"/>
      <c r="I123" s="53" t="str">
        <f t="shared" si="282"/>
        <v>15:42:56.477</v>
      </c>
      <c r="J123" s="54" t="str">
        <f t="shared" si="283"/>
        <v>15:42:59.875</v>
      </c>
      <c r="K123" s="46">
        <f>J123-I123</f>
        <v>3.9328703703711554E-5</v>
      </c>
      <c r="L123" s="74"/>
      <c r="M123" s="7"/>
      <c r="N123" s="17" t="s">
        <v>20</v>
      </c>
      <c r="O123" s="26"/>
      <c r="P123" s="41"/>
      <c r="Q123" s="71" t="s">
        <v>367</v>
      </c>
      <c r="R123" s="71" t="s">
        <v>374</v>
      </c>
      <c r="S123" s="86">
        <f t="shared" si="151"/>
        <v>8</v>
      </c>
    </row>
    <row r="124" spans="1:19" x14ac:dyDescent="0.25">
      <c r="A124" s="40"/>
      <c r="B124" s="41">
        <v>3</v>
      </c>
      <c r="C124" s="9" t="str">
        <f t="shared" ref="C124" si="292">CONCATENATE(A122,".",B124)</f>
        <v>25.3</v>
      </c>
      <c r="D124" s="25"/>
      <c r="E124" s="7"/>
      <c r="F124" s="6" t="s">
        <v>364</v>
      </c>
      <c r="G124" s="84">
        <f>FuzzyMatch(UPPER(E122),UPPER(F124))/100</f>
        <v>0</v>
      </c>
      <c r="H124" s="20"/>
      <c r="I124" s="53" t="str">
        <f t="shared" si="282"/>
        <v>15:43:03.732</v>
      </c>
      <c r="J124" s="54" t="str">
        <f t="shared" si="283"/>
        <v>15:43:07.190</v>
      </c>
      <c r="K124" s="46">
        <f>J124-I124</f>
        <v>4.0023148148105037E-5</v>
      </c>
      <c r="L124" s="74"/>
      <c r="M124" s="7"/>
      <c r="N124" s="17" t="s">
        <v>20</v>
      </c>
      <c r="O124" s="26"/>
      <c r="P124" s="41"/>
      <c r="Q124" s="71" t="s">
        <v>368</v>
      </c>
      <c r="R124" s="71" t="s">
        <v>373</v>
      </c>
      <c r="S124" s="86">
        <f t="shared" si="151"/>
        <v>8</v>
      </c>
    </row>
    <row r="125" spans="1:19" x14ac:dyDescent="0.25">
      <c r="A125" s="40"/>
      <c r="B125" s="41">
        <v>4</v>
      </c>
      <c r="C125" s="9" t="str">
        <f t="shared" ref="C125" si="293">CONCATENATE(A122,".",B125)</f>
        <v>25.4</v>
      </c>
      <c r="D125" s="25"/>
      <c r="E125" s="7"/>
      <c r="F125" s="6" t="s">
        <v>365</v>
      </c>
      <c r="G125" s="84">
        <f>FuzzyMatch(UPPER(E122),UPPER(F125))/100</f>
        <v>0.91</v>
      </c>
      <c r="H125" s="20"/>
      <c r="I125" s="53" t="str">
        <f t="shared" si="282"/>
        <v>15:43:10.780</v>
      </c>
      <c r="J125" s="54" t="str">
        <f t="shared" si="283"/>
        <v>15:43:14.282</v>
      </c>
      <c r="K125" s="46">
        <f>J125-I125</f>
        <v>4.0532407407423143E-5</v>
      </c>
      <c r="L125" s="74"/>
      <c r="M125" s="7"/>
      <c r="N125" s="17" t="s">
        <v>19</v>
      </c>
      <c r="O125" s="26"/>
      <c r="P125" s="41"/>
      <c r="Q125" s="71" t="s">
        <v>369</v>
      </c>
      <c r="R125" s="71" t="s">
        <v>372</v>
      </c>
      <c r="S125" s="86">
        <f t="shared" si="151"/>
        <v>10</v>
      </c>
    </row>
    <row r="126" spans="1:19" x14ac:dyDescent="0.25">
      <c r="A126" s="42"/>
      <c r="B126" s="30">
        <v>5</v>
      </c>
      <c r="C126" s="31" t="str">
        <f t="shared" ref="C126" si="294">CONCATENATE(A122,".",B126)</f>
        <v>25.5</v>
      </c>
      <c r="D126" s="68"/>
      <c r="E126" s="43"/>
      <c r="F126" s="32" t="s">
        <v>365</v>
      </c>
      <c r="G126" s="85">
        <f>FuzzyMatch(UPPER(E122),UPPER(F126))/100</f>
        <v>0.91</v>
      </c>
      <c r="H126" s="44"/>
      <c r="I126" s="51" t="str">
        <f t="shared" si="282"/>
        <v>15:43:18.437</v>
      </c>
      <c r="J126" s="52" t="str">
        <f t="shared" si="283"/>
        <v>15:43:21.899</v>
      </c>
      <c r="K126" s="47">
        <f>J126-I126</f>
        <v>4.0069444444457147E-5</v>
      </c>
      <c r="L126" s="75"/>
      <c r="M126" s="43"/>
      <c r="N126" s="11" t="s">
        <v>19</v>
      </c>
      <c r="O126" s="78"/>
      <c r="P126" s="30"/>
      <c r="Q126" s="71" t="s">
        <v>370</v>
      </c>
      <c r="R126" s="71" t="s">
        <v>371</v>
      </c>
      <c r="S126" s="86">
        <f t="shared" si="151"/>
        <v>10</v>
      </c>
    </row>
    <row r="127" spans="1:19" x14ac:dyDescent="0.25">
      <c r="A127" s="40">
        <v>26</v>
      </c>
      <c r="B127" s="41">
        <v>1</v>
      </c>
      <c r="C127" s="9" t="str">
        <f t="shared" ref="C127" si="295">CONCATENATE(A127,".",B127)</f>
        <v>26.1</v>
      </c>
      <c r="D127" s="25" t="s">
        <v>57</v>
      </c>
      <c r="E127" s="63" t="s">
        <v>19</v>
      </c>
      <c r="F127" s="70" t="s">
        <v>118</v>
      </c>
      <c r="G127" s="83">
        <f t="shared" ref="G127" si="296">FuzzyMatch(UPPER(E127),UPPER(F127))/100</f>
        <v>1</v>
      </c>
      <c r="H127" s="65">
        <f t="shared" ref="H127" si="297">AVERAGE(G127:G131)</f>
        <v>0.8</v>
      </c>
      <c r="I127" s="61" t="str">
        <f t="shared" si="282"/>
        <v>15:49:22.902</v>
      </c>
      <c r="J127" s="62" t="str">
        <f t="shared" si="283"/>
        <v>15:49:25.212</v>
      </c>
      <c r="K127" s="72">
        <f>J127-I127</f>
        <v>2.6736111111036465E-5</v>
      </c>
      <c r="L127" s="73">
        <f t="shared" ref="L127" si="298">AVERAGE(K127:K131)</f>
        <v>2.8451388888894868E-5</v>
      </c>
      <c r="M127" s="63" t="s">
        <v>63</v>
      </c>
      <c r="N127" s="66" t="s">
        <v>19</v>
      </c>
      <c r="O127" s="77">
        <f t="shared" ref="O127" si="299">COUNTIF(N127:N131,"Yes")/5</f>
        <v>0.8</v>
      </c>
      <c r="P127" s="67"/>
      <c r="Q127" s="71" t="s">
        <v>376</v>
      </c>
      <c r="R127" s="71" t="s">
        <v>377</v>
      </c>
      <c r="S127" s="86">
        <f t="shared" si="151"/>
        <v>3</v>
      </c>
    </row>
    <row r="128" spans="1:19" x14ac:dyDescent="0.25">
      <c r="A128" s="40"/>
      <c r="B128" s="41">
        <v>2</v>
      </c>
      <c r="C128" s="9" t="str">
        <f t="shared" ref="C128" si="300">CONCATENATE(A127,".",B128)</f>
        <v>26.2</v>
      </c>
      <c r="D128" s="25"/>
      <c r="E128" s="7"/>
      <c r="F128" s="6" t="s">
        <v>118</v>
      </c>
      <c r="G128" s="84">
        <f t="shared" ref="G128" si="301">FuzzyMatch(UPPER(E127),UPPER(F128))/100</f>
        <v>1</v>
      </c>
      <c r="H128" s="20"/>
      <c r="I128" s="53" t="str">
        <f t="shared" si="282"/>
        <v>15:49:42.032</v>
      </c>
      <c r="J128" s="54" t="str">
        <f t="shared" si="283"/>
        <v>15:49:44.374</v>
      </c>
      <c r="K128" s="46">
        <f>J128-I128</f>
        <v>2.7106481481520284E-5</v>
      </c>
      <c r="L128" s="74"/>
      <c r="M128" s="7"/>
      <c r="N128" s="17" t="s">
        <v>19</v>
      </c>
      <c r="O128" s="26"/>
      <c r="P128" s="41"/>
      <c r="Q128" s="71" t="s">
        <v>378</v>
      </c>
      <c r="R128" s="71" t="s">
        <v>379</v>
      </c>
      <c r="S128" s="86">
        <f t="shared" si="151"/>
        <v>3</v>
      </c>
    </row>
    <row r="129" spans="1:19" x14ac:dyDescent="0.25">
      <c r="A129" s="40"/>
      <c r="B129" s="41">
        <v>3</v>
      </c>
      <c r="C129" s="9" t="str">
        <f t="shared" ref="C129" si="302">CONCATENATE(A127,".",B129)</f>
        <v>26.3</v>
      </c>
      <c r="D129" s="25"/>
      <c r="E129" s="7"/>
      <c r="F129" s="6" t="s">
        <v>118</v>
      </c>
      <c r="G129" s="84">
        <f t="shared" ref="G129" si="303">FuzzyMatch(UPPER(E127),UPPER(F129))/100</f>
        <v>1</v>
      </c>
      <c r="H129" s="20"/>
      <c r="I129" s="53" t="str">
        <f t="shared" si="282"/>
        <v>15:50:00.145</v>
      </c>
      <c r="J129" s="54" t="str">
        <f t="shared" si="283"/>
        <v>15:50:02.658</v>
      </c>
      <c r="K129" s="46">
        <f>J129-I129</f>
        <v>2.9085648148075016E-5</v>
      </c>
      <c r="L129" s="74"/>
      <c r="M129" s="7"/>
      <c r="N129" s="17" t="s">
        <v>19</v>
      </c>
      <c r="O129" s="26"/>
      <c r="P129" s="41"/>
      <c r="Q129" s="71" t="s">
        <v>380</v>
      </c>
      <c r="R129" s="71" t="s">
        <v>381</v>
      </c>
      <c r="S129" s="86">
        <f t="shared" si="151"/>
        <v>3</v>
      </c>
    </row>
    <row r="130" spans="1:19" x14ac:dyDescent="0.25">
      <c r="A130" s="40"/>
      <c r="B130" s="41">
        <v>4</v>
      </c>
      <c r="C130" s="9" t="str">
        <f t="shared" ref="C130" si="304">CONCATENATE(A127,".",B130)</f>
        <v>26.4</v>
      </c>
      <c r="D130" s="25"/>
      <c r="E130" s="7"/>
      <c r="F130" s="6" t="s">
        <v>386</v>
      </c>
      <c r="G130" s="84">
        <f t="shared" ref="G130" si="305">FuzzyMatch(UPPER(E127),UPPER(F130))/100</f>
        <v>0</v>
      </c>
      <c r="H130" s="20"/>
      <c r="I130" s="53" t="str">
        <f t="shared" si="282"/>
        <v>15:50:17.961</v>
      </c>
      <c r="J130" s="54" t="str">
        <f t="shared" si="283"/>
        <v>15:50:20.609</v>
      </c>
      <c r="K130" s="46">
        <f>J130-I130</f>
        <v>3.0648148148237908E-5</v>
      </c>
      <c r="L130" s="74"/>
      <c r="M130" s="7"/>
      <c r="N130" s="17" t="s">
        <v>20</v>
      </c>
      <c r="O130" s="26"/>
      <c r="P130" s="41" t="s">
        <v>339</v>
      </c>
      <c r="Q130" s="71" t="s">
        <v>382</v>
      </c>
      <c r="R130" s="71" t="s">
        <v>383</v>
      </c>
      <c r="S130" s="86">
        <f t="shared" si="151"/>
        <v>3</v>
      </c>
    </row>
    <row r="131" spans="1:19" x14ac:dyDescent="0.25">
      <c r="A131" s="42"/>
      <c r="B131" s="30">
        <v>5</v>
      </c>
      <c r="C131" s="31" t="str">
        <f t="shared" ref="C131" si="306">CONCATENATE(A127,".",B131)</f>
        <v>26.5</v>
      </c>
      <c r="D131" s="68"/>
      <c r="E131" s="43"/>
      <c r="F131" s="32" t="s">
        <v>118</v>
      </c>
      <c r="G131" s="85">
        <f t="shared" ref="G131" si="307">FuzzyMatch(UPPER(E127),UPPER(F131))/100</f>
        <v>1</v>
      </c>
      <c r="H131" s="44"/>
      <c r="I131" s="51" t="str">
        <f t="shared" si="282"/>
        <v>15:50:23.287</v>
      </c>
      <c r="J131" s="52" t="str">
        <f t="shared" si="283"/>
        <v>15:50:25.765</v>
      </c>
      <c r="K131" s="47">
        <f>J131-I131</f>
        <v>2.868055555560467E-5</v>
      </c>
      <c r="L131" s="75"/>
      <c r="M131" s="43"/>
      <c r="N131" s="11" t="s">
        <v>19</v>
      </c>
      <c r="O131" s="78"/>
      <c r="P131" s="30"/>
      <c r="Q131" s="71" t="s">
        <v>384</v>
      </c>
      <c r="R131" s="71" t="s">
        <v>385</v>
      </c>
      <c r="S131" s="86">
        <f t="shared" ref="S131:S166" si="308">LEN(F131)</f>
        <v>3</v>
      </c>
    </row>
    <row r="132" spans="1:19" x14ac:dyDescent="0.25">
      <c r="A132" s="40">
        <v>27</v>
      </c>
      <c r="B132" s="41">
        <v>1</v>
      </c>
      <c r="C132" s="9" t="str">
        <f t="shared" ref="C132" si="309">CONCATENATE(A132,".",B132)</f>
        <v>27.1</v>
      </c>
      <c r="D132" s="25" t="s">
        <v>57</v>
      </c>
      <c r="E132" s="63" t="s">
        <v>55</v>
      </c>
      <c r="F132" s="70" t="s">
        <v>389</v>
      </c>
      <c r="G132" s="83">
        <f t="shared" ref="G132" si="310">FuzzyMatch(UPPER(E132),UPPER(F132))/100</f>
        <v>1</v>
      </c>
      <c r="H132" s="65">
        <f t="shared" ref="H132" si="311">AVERAGE(G132:G136)</f>
        <v>1</v>
      </c>
      <c r="I132" s="61" t="str">
        <f t="shared" ref="I132:I166" si="312">SUBSTITUTE(Q132,",",".")</f>
        <v>15:54:26.609</v>
      </c>
      <c r="J132" s="62" t="str">
        <f t="shared" ref="J132:J166" si="313">SUBSTITUTE(R132,",",".")</f>
        <v>15:54:29.103</v>
      </c>
      <c r="K132" s="72">
        <f>J132-I132</f>
        <v>2.8865740740680046E-5</v>
      </c>
      <c r="L132" s="73">
        <f t="shared" ref="L132" si="314">AVERAGE(K132:K136)</f>
        <v>3.2173611111074862E-5</v>
      </c>
      <c r="M132" s="63" t="s">
        <v>63</v>
      </c>
      <c r="N132" s="66" t="s">
        <v>19</v>
      </c>
      <c r="O132" s="77">
        <f t="shared" ref="O132" si="315">COUNTIF(N132:N136,"Yes")/5</f>
        <v>1</v>
      </c>
      <c r="P132" s="67"/>
      <c r="Q132" s="71" t="s">
        <v>387</v>
      </c>
      <c r="R132" s="71" t="s">
        <v>388</v>
      </c>
      <c r="S132" s="86">
        <f t="shared" si="308"/>
        <v>4</v>
      </c>
    </row>
    <row r="133" spans="1:19" x14ac:dyDescent="0.25">
      <c r="A133" s="40"/>
      <c r="B133" s="41">
        <v>2</v>
      </c>
      <c r="C133" s="9" t="str">
        <f t="shared" ref="C133" si="316">CONCATENATE(A132,".",B133)</f>
        <v>27.2</v>
      </c>
      <c r="D133" s="25"/>
      <c r="E133" s="7"/>
      <c r="F133" s="6" t="s">
        <v>389</v>
      </c>
      <c r="G133" s="84">
        <f t="shared" ref="G133" si="317">FuzzyMatch(UPPER(E132),UPPER(F133))/100</f>
        <v>1</v>
      </c>
      <c r="H133" s="20"/>
      <c r="I133" s="53" t="str">
        <f t="shared" si="312"/>
        <v>15:55:05.974</v>
      </c>
      <c r="J133" s="54" t="str">
        <f t="shared" si="313"/>
        <v>15:55:08.586</v>
      </c>
      <c r="K133" s="46">
        <f>J133-I133</f>
        <v>3.0231481481401978E-5</v>
      </c>
      <c r="L133" s="74"/>
      <c r="M133" s="7"/>
      <c r="N133" s="17" t="s">
        <v>19</v>
      </c>
      <c r="O133" s="26"/>
      <c r="P133" s="41"/>
      <c r="Q133" s="71" t="s">
        <v>390</v>
      </c>
      <c r="R133" s="71" t="s">
        <v>391</v>
      </c>
      <c r="S133" s="86">
        <f t="shared" si="308"/>
        <v>4</v>
      </c>
    </row>
    <row r="134" spans="1:19" x14ac:dyDescent="0.25">
      <c r="A134" s="40"/>
      <c r="B134" s="41">
        <v>3</v>
      </c>
      <c r="C134" s="9" t="str">
        <f t="shared" ref="C134" si="318">CONCATENATE(A132,".",B134)</f>
        <v>27.3</v>
      </c>
      <c r="D134" s="25"/>
      <c r="E134" s="7"/>
      <c r="F134" s="6" t="s">
        <v>389</v>
      </c>
      <c r="G134" s="84">
        <f t="shared" ref="G134" si="319">FuzzyMatch(UPPER(E132),UPPER(F134))/100</f>
        <v>1</v>
      </c>
      <c r="H134" s="20"/>
      <c r="I134" s="53" t="str">
        <f t="shared" si="312"/>
        <v>15:55:42.085</v>
      </c>
      <c r="J134" s="54" t="str">
        <f t="shared" si="313"/>
        <v>15:55:44.652</v>
      </c>
      <c r="K134" s="46">
        <f>J134-I134</f>
        <v>2.9710648148051355E-5</v>
      </c>
      <c r="L134" s="74"/>
      <c r="M134" s="7"/>
      <c r="N134" s="17" t="s">
        <v>19</v>
      </c>
      <c r="O134" s="26"/>
      <c r="P134" s="41"/>
      <c r="Q134" s="71" t="s">
        <v>392</v>
      </c>
      <c r="R134" s="71" t="s">
        <v>393</v>
      </c>
      <c r="S134" s="86">
        <f t="shared" si="308"/>
        <v>4</v>
      </c>
    </row>
    <row r="135" spans="1:19" x14ac:dyDescent="0.25">
      <c r="A135" s="40"/>
      <c r="B135" s="41">
        <v>4</v>
      </c>
      <c r="C135" s="9" t="str">
        <f t="shared" ref="C135" si="320">CONCATENATE(A132,".",B135)</f>
        <v>27.4</v>
      </c>
      <c r="D135" s="25"/>
      <c r="E135" s="7"/>
      <c r="F135" s="6" t="s">
        <v>389</v>
      </c>
      <c r="G135" s="84">
        <f t="shared" ref="G135" si="321">FuzzyMatch(UPPER(E132),UPPER(F135))/100</f>
        <v>1</v>
      </c>
      <c r="H135" s="20"/>
      <c r="I135" s="53" t="str">
        <f t="shared" si="312"/>
        <v>15:56:07.291</v>
      </c>
      <c r="J135" s="54" t="str">
        <f t="shared" si="313"/>
        <v>15:56:10.883</v>
      </c>
      <c r="K135" s="46">
        <f>J135-I135</f>
        <v>4.157407407412439E-5</v>
      </c>
      <c r="L135" s="74"/>
      <c r="M135" s="7"/>
      <c r="N135" s="17" t="s">
        <v>19</v>
      </c>
      <c r="O135" s="26"/>
      <c r="P135" s="41"/>
      <c r="Q135" s="71" t="s">
        <v>394</v>
      </c>
      <c r="R135" s="71" t="s">
        <v>395</v>
      </c>
      <c r="S135" s="86">
        <f t="shared" si="308"/>
        <v>4</v>
      </c>
    </row>
    <row r="136" spans="1:19" x14ac:dyDescent="0.25">
      <c r="A136" s="42"/>
      <c r="B136" s="30">
        <v>5</v>
      </c>
      <c r="C136" s="31" t="str">
        <f t="shared" ref="C136" si="322">CONCATENATE(A132,".",B136)</f>
        <v>27.5</v>
      </c>
      <c r="D136" s="68"/>
      <c r="E136" s="43"/>
      <c r="F136" s="32" t="s">
        <v>389</v>
      </c>
      <c r="G136" s="85">
        <f t="shared" ref="G136" si="323">FuzzyMatch(UPPER(E132),UPPER(F136))/100</f>
        <v>1</v>
      </c>
      <c r="H136" s="44"/>
      <c r="I136" s="51" t="str">
        <f t="shared" si="312"/>
        <v>15:57:21.324</v>
      </c>
      <c r="J136" s="52" t="str">
        <f t="shared" si="313"/>
        <v>15:57:23.958</v>
      </c>
      <c r="K136" s="47">
        <f>J136-I136</f>
        <v>3.0486111111116543E-5</v>
      </c>
      <c r="L136" s="75"/>
      <c r="M136" s="43"/>
      <c r="N136" s="11" t="s">
        <v>19</v>
      </c>
      <c r="O136" s="78"/>
      <c r="P136" s="30"/>
      <c r="Q136" s="71" t="s">
        <v>396</v>
      </c>
      <c r="R136" s="71" t="s">
        <v>397</v>
      </c>
      <c r="S136" s="86">
        <f t="shared" si="308"/>
        <v>4</v>
      </c>
    </row>
    <row r="137" spans="1:19" x14ac:dyDescent="0.25">
      <c r="A137" s="40">
        <v>28</v>
      </c>
      <c r="B137" s="41">
        <v>1</v>
      </c>
      <c r="C137" s="9" t="str">
        <f t="shared" ref="C137" si="324">CONCATENATE(A137,".",B137)</f>
        <v>28.1</v>
      </c>
      <c r="D137" s="25" t="s">
        <v>57</v>
      </c>
      <c r="E137" s="63" t="s">
        <v>56</v>
      </c>
      <c r="F137" s="70" t="s">
        <v>408</v>
      </c>
      <c r="G137" s="83">
        <f t="shared" ref="G137" si="325">FuzzyMatch(UPPER(E137),UPPER(F137))/100</f>
        <v>0</v>
      </c>
      <c r="H137" s="65">
        <f t="shared" ref="H137" si="326">AVERAGE(G137:G141)</f>
        <v>0.25</v>
      </c>
      <c r="I137" s="61" t="str">
        <f t="shared" si="312"/>
        <v>15:58:25.960</v>
      </c>
      <c r="J137" s="62" t="str">
        <f t="shared" si="313"/>
        <v>15:58:28.703</v>
      </c>
      <c r="K137" s="72">
        <f>J137-I137</f>
        <v>3.1747685185101737E-5</v>
      </c>
      <c r="L137" s="73">
        <f t="shared" ref="L137" si="327">AVERAGE(K137:K141)</f>
        <v>2.9275462962896626E-5</v>
      </c>
      <c r="M137" s="63" t="s">
        <v>63</v>
      </c>
      <c r="N137" s="66" t="s">
        <v>20</v>
      </c>
      <c r="O137" s="77">
        <f t="shared" ref="O137" si="328">COUNTIF(N137:N141,"Yes")/5</f>
        <v>0.2</v>
      </c>
      <c r="P137" s="41" t="s">
        <v>339</v>
      </c>
      <c r="Q137" s="71" t="s">
        <v>398</v>
      </c>
      <c r="R137" s="71" t="s">
        <v>399</v>
      </c>
      <c r="S137" s="86">
        <f t="shared" si="308"/>
        <v>3</v>
      </c>
    </row>
    <row r="138" spans="1:19" x14ac:dyDescent="0.25">
      <c r="A138" s="40"/>
      <c r="B138" s="41">
        <v>2</v>
      </c>
      <c r="C138" s="9" t="str">
        <f t="shared" ref="C138" si="329">CONCATENATE(A137,".",B138)</f>
        <v>28.2</v>
      </c>
      <c r="D138" s="25"/>
      <c r="E138" s="7"/>
      <c r="F138" s="6" t="s">
        <v>409</v>
      </c>
      <c r="G138" s="84">
        <f t="shared" ref="G138" si="330">FuzzyMatch(UPPER(E137),UPPER(F138))/100</f>
        <v>0.25</v>
      </c>
      <c r="H138" s="20"/>
      <c r="I138" s="53" t="str">
        <f t="shared" si="312"/>
        <v>15:58:31.464</v>
      </c>
      <c r="J138" s="54" t="str">
        <f t="shared" si="313"/>
        <v>15:58:33.889</v>
      </c>
      <c r="K138" s="46">
        <f>J138-I138</f>
        <v>2.8067129629549825E-5</v>
      </c>
      <c r="L138" s="74"/>
      <c r="M138" s="7"/>
      <c r="N138" s="17" t="s">
        <v>20</v>
      </c>
      <c r="O138" s="26"/>
      <c r="P138" s="41" t="s">
        <v>339</v>
      </c>
      <c r="Q138" s="71" t="s">
        <v>400</v>
      </c>
      <c r="R138" s="71" t="s">
        <v>401</v>
      </c>
      <c r="S138" s="86">
        <f t="shared" si="308"/>
        <v>4</v>
      </c>
    </row>
    <row r="139" spans="1:19" x14ac:dyDescent="0.25">
      <c r="A139" s="40"/>
      <c r="B139" s="41">
        <v>3</v>
      </c>
      <c r="C139" s="9" t="str">
        <f t="shared" ref="C139" si="331">CONCATENATE(A137,".",B139)</f>
        <v>28.3</v>
      </c>
      <c r="D139" s="25"/>
      <c r="E139" s="7"/>
      <c r="F139" s="6" t="s">
        <v>408</v>
      </c>
      <c r="G139" s="84">
        <f t="shared" ref="G139" si="332">FuzzyMatch(UPPER(E137),UPPER(F139))/100</f>
        <v>0</v>
      </c>
      <c r="H139" s="20"/>
      <c r="I139" s="53" t="str">
        <f t="shared" si="312"/>
        <v>15:58:36.308</v>
      </c>
      <c r="J139" s="54" t="str">
        <f t="shared" si="313"/>
        <v>15:58:38.706</v>
      </c>
      <c r="K139" s="46">
        <f>J139-I139</f>
        <v>2.7754629629561656E-5</v>
      </c>
      <c r="L139" s="74"/>
      <c r="M139" s="7"/>
      <c r="N139" s="17" t="s">
        <v>20</v>
      </c>
      <c r="O139" s="26"/>
      <c r="P139" s="41" t="s">
        <v>339</v>
      </c>
      <c r="Q139" s="71" t="s">
        <v>402</v>
      </c>
      <c r="R139" s="71" t="s">
        <v>403</v>
      </c>
      <c r="S139" s="86">
        <f t="shared" si="308"/>
        <v>3</v>
      </c>
    </row>
    <row r="140" spans="1:19" x14ac:dyDescent="0.25">
      <c r="A140" s="40"/>
      <c r="B140" s="41">
        <v>4</v>
      </c>
      <c r="C140" s="9" t="str">
        <f t="shared" ref="C140" si="333">CONCATENATE(A137,".",B140)</f>
        <v>28.4</v>
      </c>
      <c r="D140" s="25"/>
      <c r="E140" s="7"/>
      <c r="F140" s="6" t="s">
        <v>410</v>
      </c>
      <c r="G140" s="84">
        <f t="shared" ref="G140" si="334">FuzzyMatch(UPPER(E137),UPPER(F140))/100</f>
        <v>0</v>
      </c>
      <c r="H140" s="20"/>
      <c r="I140" s="53" t="str">
        <f t="shared" si="312"/>
        <v>15:58:40.579</v>
      </c>
      <c r="J140" s="54" t="str">
        <f t="shared" si="313"/>
        <v>15:58:43.050</v>
      </c>
      <c r="K140" s="46">
        <f>J140-I140</f>
        <v>2.8599537036932965E-5</v>
      </c>
      <c r="L140" s="74"/>
      <c r="M140" s="7"/>
      <c r="N140" s="17" t="s">
        <v>20</v>
      </c>
      <c r="O140" s="26"/>
      <c r="P140" s="41" t="s">
        <v>339</v>
      </c>
      <c r="Q140" s="71" t="s">
        <v>404</v>
      </c>
      <c r="R140" s="71" t="s">
        <v>405</v>
      </c>
      <c r="S140" s="86">
        <f t="shared" si="308"/>
        <v>2</v>
      </c>
    </row>
    <row r="141" spans="1:19" x14ac:dyDescent="0.25">
      <c r="A141" s="42"/>
      <c r="B141" s="30">
        <v>5</v>
      </c>
      <c r="C141" s="31" t="str">
        <f t="shared" ref="C141" si="335">CONCATENATE(A137,".",B141)</f>
        <v>28.5</v>
      </c>
      <c r="D141" s="68"/>
      <c r="E141" s="43"/>
      <c r="F141" s="32" t="s">
        <v>411</v>
      </c>
      <c r="G141" s="85">
        <f t="shared" ref="G141" si="336">FuzzyMatch(UPPER(E137),UPPER(F141))/100</f>
        <v>1</v>
      </c>
      <c r="H141" s="44"/>
      <c r="I141" s="51" t="str">
        <f t="shared" si="312"/>
        <v>15:58:44.734</v>
      </c>
      <c r="J141" s="52" t="str">
        <f t="shared" si="313"/>
        <v>15:58:47.344</v>
      </c>
      <c r="K141" s="47">
        <f>J141-I141</f>
        <v>3.0208333333336945E-5</v>
      </c>
      <c r="L141" s="75"/>
      <c r="M141" s="43"/>
      <c r="N141" s="11" t="s">
        <v>19</v>
      </c>
      <c r="O141" s="78"/>
      <c r="P141" s="30"/>
      <c r="Q141" s="71" t="s">
        <v>406</v>
      </c>
      <c r="R141" s="71" t="s">
        <v>407</v>
      </c>
      <c r="S141" s="86">
        <f t="shared" si="308"/>
        <v>4</v>
      </c>
    </row>
    <row r="142" spans="1:19" x14ac:dyDescent="0.25">
      <c r="A142" s="80">
        <v>29</v>
      </c>
      <c r="B142" s="67">
        <v>1</v>
      </c>
      <c r="C142" s="81" t="str">
        <f t="shared" ref="C142" si="337">CONCATENATE(A142,".",B142)</f>
        <v>29.1</v>
      </c>
      <c r="D142" s="24" t="s">
        <v>57</v>
      </c>
      <c r="E142" s="63" t="s">
        <v>20</v>
      </c>
      <c r="F142" s="70" t="s">
        <v>228</v>
      </c>
      <c r="G142" s="83">
        <f t="shared" ref="G142" si="338">FuzzyMatch(UPPER(E142),UPPER(F142))/100</f>
        <v>1</v>
      </c>
      <c r="H142" s="65">
        <f t="shared" ref="H142" si="339">AVERAGE(G142:G146)</f>
        <v>0.8</v>
      </c>
      <c r="I142" s="61" t="str">
        <f t="shared" si="312"/>
        <v>16:09:49.962</v>
      </c>
      <c r="J142" s="62" t="str">
        <f t="shared" si="313"/>
        <v>16:09:52.229</v>
      </c>
      <c r="K142" s="72">
        <f>J142-I142</f>
        <v>2.6238425925861897E-5</v>
      </c>
      <c r="L142" s="73">
        <f t="shared" ref="L142" si="340">AVERAGE(K142:K146)</f>
        <v>2.7171296296235602E-5</v>
      </c>
      <c r="M142" s="63" t="s">
        <v>64</v>
      </c>
      <c r="N142" s="66" t="s">
        <v>19</v>
      </c>
      <c r="O142" s="77">
        <f t="shared" ref="O142" si="341">COUNTIF(N142:N146,"Yes")/5</f>
        <v>1</v>
      </c>
      <c r="P142" s="67"/>
      <c r="Q142" s="71" t="s">
        <v>413</v>
      </c>
      <c r="R142" s="71" t="s">
        <v>414</v>
      </c>
      <c r="S142" s="86">
        <f t="shared" si="308"/>
        <v>2</v>
      </c>
    </row>
    <row r="143" spans="1:19" x14ac:dyDescent="0.25">
      <c r="A143" s="40"/>
      <c r="B143" s="41">
        <v>2</v>
      </c>
      <c r="C143" s="9" t="str">
        <f t="shared" ref="C143" si="342">CONCATENATE(A142,".",B143)</f>
        <v>29.2</v>
      </c>
      <c r="D143" s="25"/>
      <c r="E143" s="7"/>
      <c r="F143" s="6" t="s">
        <v>228</v>
      </c>
      <c r="G143" s="84">
        <f t="shared" ref="G143" si="343">FuzzyMatch(UPPER(E142),UPPER(F143))/100</f>
        <v>1</v>
      </c>
      <c r="H143" s="20"/>
      <c r="I143" s="53" t="str">
        <f t="shared" si="312"/>
        <v>16:09:58.716</v>
      </c>
      <c r="J143" s="54" t="str">
        <f t="shared" si="313"/>
        <v>16:10:00.920</v>
      </c>
      <c r="K143" s="46">
        <f>J143-I143</f>
        <v>2.5509259259259842E-5</v>
      </c>
      <c r="L143" s="74"/>
      <c r="M143" s="7"/>
      <c r="N143" s="17" t="s">
        <v>19</v>
      </c>
      <c r="O143" s="26"/>
      <c r="P143" s="41"/>
      <c r="Q143" s="71" t="s">
        <v>415</v>
      </c>
      <c r="R143" s="71" t="s">
        <v>416</v>
      </c>
      <c r="S143" s="86">
        <f t="shared" si="308"/>
        <v>2</v>
      </c>
    </row>
    <row r="144" spans="1:19" x14ac:dyDescent="0.25">
      <c r="A144" s="40"/>
      <c r="B144" s="41">
        <v>3</v>
      </c>
      <c r="C144" s="9" t="str">
        <f t="shared" ref="C144" si="344">CONCATENATE(A142,".",B144)</f>
        <v>29.3</v>
      </c>
      <c r="D144" s="25"/>
      <c r="E144" s="7"/>
      <c r="F144" s="6" t="s">
        <v>412</v>
      </c>
      <c r="G144" s="84">
        <f t="shared" ref="G144" si="345">FuzzyMatch(UPPER(E142),UPPER(F144))/100</f>
        <v>0</v>
      </c>
      <c r="H144" s="20"/>
      <c r="I144" s="53" t="str">
        <f t="shared" si="312"/>
        <v>16:10:12.815</v>
      </c>
      <c r="J144" s="54" t="str">
        <f t="shared" si="313"/>
        <v>16:10:15.167</v>
      </c>
      <c r="K144" s="46">
        <f>J144-I144</f>
        <v>2.7222222222178516E-5</v>
      </c>
      <c r="L144" s="74"/>
      <c r="M144" s="7"/>
      <c r="N144" s="17" t="s">
        <v>19</v>
      </c>
      <c r="O144" s="26"/>
      <c r="P144" s="41"/>
      <c r="Q144" s="71" t="s">
        <v>417</v>
      </c>
      <c r="R144" s="71" t="s">
        <v>418</v>
      </c>
      <c r="S144" s="86">
        <f t="shared" si="308"/>
        <v>3</v>
      </c>
    </row>
    <row r="145" spans="1:19" x14ac:dyDescent="0.25">
      <c r="A145" s="40"/>
      <c r="B145" s="41">
        <v>4</v>
      </c>
      <c r="C145" s="9" t="str">
        <f t="shared" ref="C145" si="346">CONCATENATE(A142,".",B145)</f>
        <v>29.4</v>
      </c>
      <c r="D145" s="25"/>
      <c r="E145" s="7"/>
      <c r="F145" s="6" t="s">
        <v>228</v>
      </c>
      <c r="G145" s="84">
        <f t="shared" ref="G145" si="347">FuzzyMatch(UPPER(E142),UPPER(F145))/100</f>
        <v>1</v>
      </c>
      <c r="H145" s="20"/>
      <c r="I145" s="53" t="str">
        <f t="shared" si="312"/>
        <v>16:10:28.041</v>
      </c>
      <c r="J145" s="54" t="str">
        <f t="shared" si="313"/>
        <v>16:10:30.613</v>
      </c>
      <c r="K145" s="46">
        <f>J145-I145</f>
        <v>2.9768518518435982E-5</v>
      </c>
      <c r="L145" s="74"/>
      <c r="M145" s="7"/>
      <c r="N145" s="17" t="s">
        <v>19</v>
      </c>
      <c r="O145" s="26"/>
      <c r="P145" s="41"/>
      <c r="Q145" s="71" t="s">
        <v>419</v>
      </c>
      <c r="R145" s="71" t="s">
        <v>420</v>
      </c>
      <c r="S145" s="86">
        <f t="shared" si="308"/>
        <v>2</v>
      </c>
    </row>
    <row r="146" spans="1:19" x14ac:dyDescent="0.25">
      <c r="A146" s="42"/>
      <c r="B146" s="30">
        <v>5</v>
      </c>
      <c r="C146" s="31" t="str">
        <f t="shared" ref="C146" si="348">CONCATENATE(A142,".",B146)</f>
        <v>29.5</v>
      </c>
      <c r="D146" s="68"/>
      <c r="E146" s="43"/>
      <c r="F146" s="32" t="s">
        <v>228</v>
      </c>
      <c r="G146" s="85">
        <f t="shared" ref="G146" si="349">FuzzyMatch(UPPER(E142),UPPER(F146))/100</f>
        <v>1</v>
      </c>
      <c r="H146" s="44"/>
      <c r="I146" s="51" t="str">
        <f t="shared" si="312"/>
        <v>16:10:37.682</v>
      </c>
      <c r="J146" s="52" t="str">
        <f t="shared" si="313"/>
        <v>16:10:40.025</v>
      </c>
      <c r="K146" s="47">
        <f>J146-I146</f>
        <v>2.7118055555441778E-5</v>
      </c>
      <c r="L146" s="75"/>
      <c r="M146" s="43"/>
      <c r="N146" s="11" t="s">
        <v>19</v>
      </c>
      <c r="O146" s="78"/>
      <c r="P146" s="30"/>
      <c r="Q146" s="71" t="s">
        <v>421</v>
      </c>
      <c r="R146" s="71" t="s">
        <v>422</v>
      </c>
      <c r="S146" s="86">
        <f t="shared" si="308"/>
        <v>2</v>
      </c>
    </row>
    <row r="147" spans="1:19" x14ac:dyDescent="0.25">
      <c r="A147" s="40">
        <v>30</v>
      </c>
      <c r="B147" s="41">
        <v>1</v>
      </c>
      <c r="C147" s="9" t="str">
        <f t="shared" ref="C147" si="350">CONCATENATE(A147,".",B147)</f>
        <v>30.1</v>
      </c>
      <c r="D147" s="25" t="s">
        <v>57</v>
      </c>
      <c r="E147" s="63" t="s">
        <v>54</v>
      </c>
      <c r="F147" s="70" t="s">
        <v>228</v>
      </c>
      <c r="G147" s="83">
        <f>FuzzyMatch(UPPER(E147),UPPER(F147))/100</f>
        <v>0</v>
      </c>
      <c r="H147" s="65">
        <f t="shared" ref="H147" si="351">AVERAGE(G147:G151)</f>
        <v>0.19800000000000001</v>
      </c>
      <c r="I147" s="61" t="str">
        <f t="shared" si="312"/>
        <v>16:13:22.837</v>
      </c>
      <c r="J147" s="62" t="str">
        <f t="shared" si="313"/>
        <v>16:13:25.064</v>
      </c>
      <c r="K147" s="72">
        <f>J147-I147</f>
        <v>2.5775462963006923E-5</v>
      </c>
      <c r="L147" s="73">
        <f t="shared" ref="L147" si="352">AVERAGE(K147:K151)</f>
        <v>2.8675925925969458E-5</v>
      </c>
      <c r="M147" s="63" t="s">
        <v>64</v>
      </c>
      <c r="N147" s="66" t="s">
        <v>19</v>
      </c>
      <c r="O147" s="77">
        <f t="shared" ref="O147" si="353">COUNTIF(N147:N151,"Yes")/5</f>
        <v>0.8</v>
      </c>
      <c r="P147" s="67"/>
      <c r="Q147" s="71" t="s">
        <v>427</v>
      </c>
      <c r="R147" s="71" t="s">
        <v>428</v>
      </c>
      <c r="S147" s="86">
        <f t="shared" si="308"/>
        <v>2</v>
      </c>
    </row>
    <row r="148" spans="1:19" x14ac:dyDescent="0.25">
      <c r="A148" s="40"/>
      <c r="B148" s="41">
        <v>2</v>
      </c>
      <c r="C148" s="9" t="str">
        <f t="shared" ref="C148" si="354">CONCATENATE(A147,".",B148)</f>
        <v>30.2</v>
      </c>
      <c r="D148" s="25"/>
      <c r="E148" s="7"/>
      <c r="F148" s="6" t="s">
        <v>423</v>
      </c>
      <c r="G148" s="84">
        <f>FuzzyMatch(UPPER(E147),UPPER(F148))/100</f>
        <v>0.33</v>
      </c>
      <c r="H148" s="20"/>
      <c r="I148" s="53" t="str">
        <f t="shared" si="312"/>
        <v>16:13:53.193</v>
      </c>
      <c r="J148" s="54" t="str">
        <f t="shared" si="313"/>
        <v>16:13:55.566</v>
      </c>
      <c r="K148" s="46">
        <f>J148-I148</f>
        <v>2.7465277777638519E-5</v>
      </c>
      <c r="L148" s="74"/>
      <c r="M148" s="7"/>
      <c r="N148" s="17" t="s">
        <v>19</v>
      </c>
      <c r="O148" s="26"/>
      <c r="P148" s="41"/>
      <c r="Q148" s="71" t="s">
        <v>429</v>
      </c>
      <c r="R148" s="71" t="s">
        <v>430</v>
      </c>
      <c r="S148" s="86">
        <f t="shared" si="308"/>
        <v>3</v>
      </c>
    </row>
    <row r="149" spans="1:19" x14ac:dyDescent="0.25">
      <c r="A149" s="40"/>
      <c r="B149" s="41">
        <v>3</v>
      </c>
      <c r="C149" s="9" t="str">
        <f t="shared" ref="C149" si="355">CONCATENATE(A147,".",B149)</f>
        <v>30.3</v>
      </c>
      <c r="D149" s="25"/>
      <c r="E149" s="7"/>
      <c r="F149" s="6" t="s">
        <v>423</v>
      </c>
      <c r="G149" s="84">
        <f>FuzzyMatch(UPPER(E147),UPPER(F149))/100</f>
        <v>0.33</v>
      </c>
      <c r="H149" s="20"/>
      <c r="I149" s="53" t="str">
        <f t="shared" si="312"/>
        <v>16:14:15.685</v>
      </c>
      <c r="J149" s="54" t="str">
        <f t="shared" si="313"/>
        <v>16:14:18.259</v>
      </c>
      <c r="K149" s="46">
        <f>J149-I149</f>
        <v>2.979166666672306E-5</v>
      </c>
      <c r="L149" s="74"/>
      <c r="M149" s="7"/>
      <c r="N149" s="17" t="s">
        <v>19</v>
      </c>
      <c r="O149" s="26"/>
      <c r="P149" s="41"/>
      <c r="Q149" s="71" t="s">
        <v>431</v>
      </c>
      <c r="R149" s="71" t="s">
        <v>432</v>
      </c>
      <c r="S149" s="86">
        <f t="shared" si="308"/>
        <v>3</v>
      </c>
    </row>
    <row r="150" spans="1:19" x14ac:dyDescent="0.25">
      <c r="A150" s="40"/>
      <c r="B150" s="41">
        <v>4</v>
      </c>
      <c r="C150" s="9" t="str">
        <f t="shared" ref="C150" si="356">CONCATENATE(A147,".",B150)</f>
        <v>30.4</v>
      </c>
      <c r="D150" s="25"/>
      <c r="E150" s="7"/>
      <c r="F150" s="6" t="s">
        <v>426</v>
      </c>
      <c r="G150" s="84">
        <f>FuzzyMatch(UPPER(E147),UPPER(F150))/100</f>
        <v>0</v>
      </c>
      <c r="H150" s="20"/>
      <c r="I150" s="53" t="str">
        <f t="shared" si="312"/>
        <v>16:14:42.351</v>
      </c>
      <c r="J150" s="54" t="str">
        <f t="shared" si="313"/>
        <v>16:14:44.900</v>
      </c>
      <c r="K150" s="46">
        <f>J150-I150</f>
        <v>2.9502314814910946E-5</v>
      </c>
      <c r="L150" s="74"/>
      <c r="M150" s="7"/>
      <c r="N150" s="17" t="s">
        <v>20</v>
      </c>
      <c r="O150" s="26"/>
      <c r="P150" s="41" t="s">
        <v>339</v>
      </c>
      <c r="Q150" s="71" t="s">
        <v>433</v>
      </c>
      <c r="R150" s="71" t="s">
        <v>434</v>
      </c>
      <c r="S150" s="86">
        <f t="shared" si="308"/>
        <v>4</v>
      </c>
    </row>
    <row r="151" spans="1:19" x14ac:dyDescent="0.25">
      <c r="A151" s="42"/>
      <c r="B151" s="30">
        <v>5</v>
      </c>
      <c r="C151" s="31" t="str">
        <f t="shared" ref="C151" si="357">CONCATENATE(A147,".",B151)</f>
        <v>30.5</v>
      </c>
      <c r="D151" s="68"/>
      <c r="E151" s="43"/>
      <c r="F151" s="32" t="s">
        <v>423</v>
      </c>
      <c r="G151" s="85">
        <f>FuzzyMatch(UPPER(E147),UPPER(F151))/100</f>
        <v>0.33</v>
      </c>
      <c r="H151" s="44"/>
      <c r="I151" s="51" t="str">
        <f t="shared" si="312"/>
        <v>16:15:01.414</v>
      </c>
      <c r="J151" s="52" t="str">
        <f t="shared" si="313"/>
        <v>16:15:04.079</v>
      </c>
      <c r="K151" s="47">
        <f>J151-I151</f>
        <v>3.0844907407567845E-5</v>
      </c>
      <c r="L151" s="75"/>
      <c r="M151" s="43"/>
      <c r="N151" s="11" t="s">
        <v>19</v>
      </c>
      <c r="O151" s="78"/>
      <c r="P151" s="30"/>
      <c r="Q151" s="71" t="s">
        <v>425</v>
      </c>
      <c r="R151" s="71" t="s">
        <v>424</v>
      </c>
      <c r="S151" s="86">
        <f t="shared" si="308"/>
        <v>3</v>
      </c>
    </row>
    <row r="152" spans="1:19" x14ac:dyDescent="0.25">
      <c r="A152" s="80">
        <v>31</v>
      </c>
      <c r="B152" s="67">
        <v>1</v>
      </c>
      <c r="C152" s="81" t="str">
        <f t="shared" ref="C152" si="358">CONCATENATE(A152,".",B152)</f>
        <v>31.1</v>
      </c>
      <c r="D152" s="24" t="s">
        <v>57</v>
      </c>
      <c r="E152" s="63" t="s">
        <v>53</v>
      </c>
      <c r="F152" s="70" t="s">
        <v>435</v>
      </c>
      <c r="G152" s="83">
        <f>FuzzyMatch(UPPER(E152),UPPER(F152))/100</f>
        <v>1</v>
      </c>
      <c r="H152" s="65">
        <f t="shared" ref="H152" si="359">AVERAGE(G152:G156)</f>
        <v>1</v>
      </c>
      <c r="I152" s="61" t="str">
        <f t="shared" si="312"/>
        <v>16:18:11.713</v>
      </c>
      <c r="J152" s="62" t="str">
        <f t="shared" si="313"/>
        <v>16:18:14.644</v>
      </c>
      <c r="K152" s="72">
        <f>J152-I152</f>
        <v>3.3923611111097429E-5</v>
      </c>
      <c r="L152" s="73">
        <f t="shared" ref="L152" si="360">AVERAGE(K152:K156)</f>
        <v>3.6261574074081258E-5</v>
      </c>
      <c r="M152" s="63" t="s">
        <v>64</v>
      </c>
      <c r="N152" s="66" t="s">
        <v>19</v>
      </c>
      <c r="O152" s="77">
        <f t="shared" ref="O152" si="361">COUNTIF(N152:N156,"Yes")/5</f>
        <v>1</v>
      </c>
      <c r="P152" s="67"/>
      <c r="Q152" s="71" t="s">
        <v>436</v>
      </c>
      <c r="R152" s="71" t="s">
        <v>437</v>
      </c>
      <c r="S152" s="86">
        <f t="shared" si="308"/>
        <v>13</v>
      </c>
    </row>
    <row r="153" spans="1:19" x14ac:dyDescent="0.25">
      <c r="A153" s="40"/>
      <c r="B153" s="41">
        <v>2</v>
      </c>
      <c r="C153" s="9" t="str">
        <f t="shared" ref="C153" si="362">CONCATENATE(A152,".",B153)</f>
        <v>31.2</v>
      </c>
      <c r="D153" s="25"/>
      <c r="E153" s="7"/>
      <c r="F153" s="6" t="s">
        <v>435</v>
      </c>
      <c r="G153" s="84">
        <f>FuzzyMatch(UPPER(E152),UPPER(F153))/100</f>
        <v>1</v>
      </c>
      <c r="H153" s="20"/>
      <c r="I153" s="53" t="str">
        <f t="shared" si="312"/>
        <v>16:18:22.986</v>
      </c>
      <c r="J153" s="54" t="str">
        <f t="shared" si="313"/>
        <v>16:18:26.340</v>
      </c>
      <c r="K153" s="46">
        <f>J153-I153</f>
        <v>3.881944444450447E-5</v>
      </c>
      <c r="L153" s="74"/>
      <c r="M153" s="7"/>
      <c r="N153" s="17" t="s">
        <v>19</v>
      </c>
      <c r="O153" s="26"/>
      <c r="P153" s="41"/>
      <c r="Q153" s="71" t="s">
        <v>438</v>
      </c>
      <c r="R153" s="71" t="s">
        <v>439</v>
      </c>
      <c r="S153" s="86">
        <f t="shared" si="308"/>
        <v>13</v>
      </c>
    </row>
    <row r="154" spans="1:19" x14ac:dyDescent="0.25">
      <c r="A154" s="40"/>
      <c r="B154" s="41">
        <v>3</v>
      </c>
      <c r="C154" s="9" t="str">
        <f t="shared" ref="C154" si="363">CONCATENATE(A152,".",B154)</f>
        <v>31.3</v>
      </c>
      <c r="D154" s="25"/>
      <c r="E154" s="7"/>
      <c r="F154" s="6" t="s">
        <v>435</v>
      </c>
      <c r="G154" s="84">
        <f>FuzzyMatch(UPPER(E152),UPPER(F154))/100</f>
        <v>1</v>
      </c>
      <c r="H154" s="20"/>
      <c r="I154" s="53" t="str">
        <f t="shared" si="312"/>
        <v>16:18:40.900</v>
      </c>
      <c r="J154" s="54" t="str">
        <f t="shared" si="313"/>
        <v>16:18:43.998</v>
      </c>
      <c r="K154" s="46">
        <f>J154-I154</f>
        <v>3.5856481481522096E-5</v>
      </c>
      <c r="L154" s="74"/>
      <c r="M154" s="7"/>
      <c r="N154" s="17" t="s">
        <v>19</v>
      </c>
      <c r="O154" s="26"/>
      <c r="P154" s="41"/>
      <c r="Q154" s="71" t="s">
        <v>440</v>
      </c>
      <c r="R154" s="71" t="s">
        <v>441</v>
      </c>
      <c r="S154" s="86">
        <f t="shared" si="308"/>
        <v>13</v>
      </c>
    </row>
    <row r="155" spans="1:19" x14ac:dyDescent="0.25">
      <c r="A155" s="40"/>
      <c r="B155" s="41">
        <v>4</v>
      </c>
      <c r="C155" s="9" t="str">
        <f t="shared" ref="C155" si="364">CONCATENATE(A152,".",B155)</f>
        <v>31.4</v>
      </c>
      <c r="D155" s="25"/>
      <c r="E155" s="7"/>
      <c r="F155" s="6" t="s">
        <v>435</v>
      </c>
      <c r="G155" s="84">
        <f>FuzzyMatch(UPPER(E152),UPPER(F155))/100</f>
        <v>1</v>
      </c>
      <c r="H155" s="20"/>
      <c r="I155" s="53" t="str">
        <f t="shared" si="312"/>
        <v>16:18:51.599</v>
      </c>
      <c r="J155" s="54" t="str">
        <f t="shared" si="313"/>
        <v>16:18:54.679</v>
      </c>
      <c r="K155" s="46">
        <f>J155-I155</f>
        <v>3.5648148148159642E-5</v>
      </c>
      <c r="L155" s="74"/>
      <c r="M155" s="7"/>
      <c r="N155" s="17" t="s">
        <v>19</v>
      </c>
      <c r="O155" s="26"/>
      <c r="P155" s="41"/>
      <c r="Q155" s="71" t="s">
        <v>442</v>
      </c>
      <c r="R155" s="71" t="s">
        <v>443</v>
      </c>
      <c r="S155" s="86">
        <f t="shared" si="308"/>
        <v>13</v>
      </c>
    </row>
    <row r="156" spans="1:19" x14ac:dyDescent="0.25">
      <c r="A156" s="42"/>
      <c r="B156" s="30">
        <v>5</v>
      </c>
      <c r="C156" s="31" t="str">
        <f t="shared" ref="C156" si="365">CONCATENATE(A152,".",B156)</f>
        <v>31.5</v>
      </c>
      <c r="D156" s="68"/>
      <c r="E156" s="43"/>
      <c r="F156" s="32" t="s">
        <v>435</v>
      </c>
      <c r="G156" s="85">
        <f>FuzzyMatch(UPPER(E152),UPPER(F156))/100</f>
        <v>1</v>
      </c>
      <c r="H156" s="44"/>
      <c r="I156" s="51" t="str">
        <f t="shared" si="312"/>
        <v>16:19:01.586</v>
      </c>
      <c r="J156" s="52" t="str">
        <f t="shared" si="313"/>
        <v>16:19:04.788</v>
      </c>
      <c r="K156" s="47">
        <f>J156-I156</f>
        <v>3.7060185185122663E-5</v>
      </c>
      <c r="L156" s="75"/>
      <c r="M156" s="43"/>
      <c r="N156" s="11" t="s">
        <v>19</v>
      </c>
      <c r="O156" s="78"/>
      <c r="P156" s="30"/>
      <c r="Q156" s="71" t="s">
        <v>444</v>
      </c>
      <c r="R156" s="71" t="s">
        <v>445</v>
      </c>
      <c r="S156" s="86">
        <f t="shared" si="308"/>
        <v>13</v>
      </c>
    </row>
    <row r="157" spans="1:19" x14ac:dyDescent="0.25">
      <c r="A157" s="40">
        <v>32</v>
      </c>
      <c r="B157" s="41">
        <v>1</v>
      </c>
      <c r="C157" s="9" t="str">
        <f t="shared" ref="C157" si="366">CONCATENATE(A157,".",B157)</f>
        <v>32.1</v>
      </c>
      <c r="D157" s="7" t="s">
        <v>24</v>
      </c>
      <c r="E157" s="7" t="s">
        <v>42</v>
      </c>
      <c r="F157" s="6" t="s">
        <v>449</v>
      </c>
      <c r="G157" s="84">
        <f t="shared" ref="G157" si="367">FuzzyMatch(UPPER(E157),UPPER(F157))/100</f>
        <v>1</v>
      </c>
      <c r="H157" s="20">
        <f t="shared" ref="H157" si="368">AVERAGE(G157:G161)</f>
        <v>1</v>
      </c>
      <c r="I157" s="53" t="str">
        <f t="shared" si="312"/>
        <v>16:21:15.455</v>
      </c>
      <c r="J157" s="54" t="str">
        <f t="shared" si="313"/>
        <v>16:21:18.362</v>
      </c>
      <c r="K157" s="46">
        <f>J157-I157</f>
        <v>3.3645833333317832E-5</v>
      </c>
      <c r="L157" s="74">
        <f t="shared" ref="L157" si="369">AVERAGE(K157:K161)</f>
        <v>3.2201388888886126E-5</v>
      </c>
      <c r="M157" s="7" t="s">
        <v>65</v>
      </c>
      <c r="N157" s="17" t="s">
        <v>19</v>
      </c>
      <c r="O157" s="26">
        <f t="shared" ref="O157" si="370">COUNTIF(N157:N161,"Yes")/5</f>
        <v>1</v>
      </c>
      <c r="P157" s="41"/>
      <c r="Q157" s="71" t="s">
        <v>446</v>
      </c>
      <c r="R157" s="71" t="s">
        <v>447</v>
      </c>
      <c r="S157" s="86">
        <f t="shared" si="308"/>
        <v>8</v>
      </c>
    </row>
    <row r="158" spans="1:19" x14ac:dyDescent="0.25">
      <c r="A158" s="40"/>
      <c r="B158" s="41">
        <v>2</v>
      </c>
      <c r="C158" s="9" t="str">
        <f t="shared" ref="C158" si="371">CONCATENATE(A157,".",B158)</f>
        <v>32.2</v>
      </c>
      <c r="D158" s="7"/>
      <c r="E158" s="7"/>
      <c r="F158" s="6" t="s">
        <v>449</v>
      </c>
      <c r="G158" s="84">
        <f t="shared" ref="G158" si="372">FuzzyMatch(UPPER(E157),UPPER(F158))/100</f>
        <v>1</v>
      </c>
      <c r="H158" s="20"/>
      <c r="I158" s="53" t="str">
        <f t="shared" si="312"/>
        <v>16:21:20.496</v>
      </c>
      <c r="J158" s="54" t="str">
        <f t="shared" si="313"/>
        <v>16:21:23.220</v>
      </c>
      <c r="K158" s="46">
        <f>J158-I158</f>
        <v>3.1527777777706767E-5</v>
      </c>
      <c r="L158" s="74"/>
      <c r="M158" s="7"/>
      <c r="N158" s="17" t="s">
        <v>19</v>
      </c>
      <c r="O158" s="26"/>
      <c r="P158" s="41"/>
      <c r="Q158" s="71" t="s">
        <v>448</v>
      </c>
      <c r="R158" s="71" t="s">
        <v>453</v>
      </c>
      <c r="S158" s="86">
        <f t="shared" si="308"/>
        <v>8</v>
      </c>
    </row>
    <row r="159" spans="1:19" x14ac:dyDescent="0.25">
      <c r="A159" s="40"/>
      <c r="B159" s="41">
        <v>3</v>
      </c>
      <c r="C159" s="9" t="str">
        <f t="shared" ref="C159" si="373">CONCATENATE(A157,".",B159)</f>
        <v>32.3</v>
      </c>
      <c r="D159" s="7"/>
      <c r="E159" s="7"/>
      <c r="F159" s="6" t="s">
        <v>449</v>
      </c>
      <c r="G159" s="84">
        <f t="shared" ref="G159" si="374">FuzzyMatch(UPPER(E157),UPPER(F159))/100</f>
        <v>1</v>
      </c>
      <c r="H159" s="20"/>
      <c r="I159" s="53" t="str">
        <f t="shared" si="312"/>
        <v>16:21:25.202</v>
      </c>
      <c r="J159" s="54" t="str">
        <f t="shared" si="313"/>
        <v>16:21:27.948</v>
      </c>
      <c r="K159" s="46">
        <f>J159-I159</f>
        <v>3.1782407407532354E-5</v>
      </c>
      <c r="L159" s="74"/>
      <c r="M159" s="7"/>
      <c r="N159" s="17" t="s">
        <v>19</v>
      </c>
      <c r="O159" s="26"/>
      <c r="P159" s="41"/>
      <c r="Q159" s="71" t="s">
        <v>454</v>
      </c>
      <c r="R159" s="71" t="s">
        <v>455</v>
      </c>
      <c r="S159" s="86">
        <f t="shared" si="308"/>
        <v>8</v>
      </c>
    </row>
    <row r="160" spans="1:19" x14ac:dyDescent="0.25">
      <c r="A160" s="40"/>
      <c r="B160" s="41">
        <v>4</v>
      </c>
      <c r="C160" s="9" t="str">
        <f t="shared" ref="C160" si="375">CONCATENATE(A157,".",B160)</f>
        <v>32.4</v>
      </c>
      <c r="D160" s="7"/>
      <c r="E160" s="7"/>
      <c r="F160" s="6" t="s">
        <v>449</v>
      </c>
      <c r="G160" s="84">
        <f t="shared" ref="G160" si="376">FuzzyMatch(UPPER(E157),UPPER(F160))/100</f>
        <v>1</v>
      </c>
      <c r="H160" s="20"/>
      <c r="I160" s="53" t="str">
        <f t="shared" si="312"/>
        <v>16:21:29.955</v>
      </c>
      <c r="J160" s="54" t="str">
        <f t="shared" si="313"/>
        <v>16:21:32.722</v>
      </c>
      <c r="K160" s="46">
        <f>J160-I160</f>
        <v>3.2025462962881335E-5</v>
      </c>
      <c r="L160" s="74"/>
      <c r="M160" s="7"/>
      <c r="N160" s="17" t="s">
        <v>19</v>
      </c>
      <c r="O160" s="26"/>
      <c r="P160" s="41"/>
      <c r="Q160" s="71" t="s">
        <v>457</v>
      </c>
      <c r="R160" s="71" t="s">
        <v>456</v>
      </c>
      <c r="S160" s="86">
        <f t="shared" si="308"/>
        <v>8</v>
      </c>
    </row>
    <row r="161" spans="1:19" x14ac:dyDescent="0.25">
      <c r="A161" s="42"/>
      <c r="B161" s="30">
        <v>5</v>
      </c>
      <c r="C161" s="31" t="str">
        <f t="shared" ref="C161" si="377">CONCATENATE(A157,".",B161)</f>
        <v>32.5</v>
      </c>
      <c r="D161" s="43"/>
      <c r="E161" s="43"/>
      <c r="F161" s="32" t="s">
        <v>449</v>
      </c>
      <c r="G161" s="85">
        <f t="shared" ref="G161" si="378">FuzzyMatch(UPPER(E157),UPPER(F161))/100</f>
        <v>1</v>
      </c>
      <c r="H161" s="44"/>
      <c r="I161" s="51" t="str">
        <f t="shared" si="312"/>
        <v>16:21:34.730</v>
      </c>
      <c r="J161" s="52" t="str">
        <f t="shared" si="313"/>
        <v>16:21:37.497</v>
      </c>
      <c r="K161" s="47">
        <f>J161-I161</f>
        <v>3.2025462962992357E-5</v>
      </c>
      <c r="L161" s="75"/>
      <c r="M161" s="43"/>
      <c r="N161" s="11" t="s">
        <v>19</v>
      </c>
      <c r="O161" s="78"/>
      <c r="P161" s="30"/>
      <c r="Q161" s="71" t="s">
        <v>458</v>
      </c>
      <c r="R161" s="71" t="s">
        <v>459</v>
      </c>
      <c r="S161" s="86">
        <f t="shared" si="308"/>
        <v>8</v>
      </c>
    </row>
    <row r="162" spans="1:19" x14ac:dyDescent="0.25">
      <c r="A162" s="40">
        <v>33</v>
      </c>
      <c r="B162" s="41">
        <v>1</v>
      </c>
      <c r="C162" s="9" t="str">
        <f t="shared" ref="C162" si="379">CONCATENATE(A162,".",B162)</f>
        <v>33.1</v>
      </c>
      <c r="D162" s="7" t="s">
        <v>24</v>
      </c>
      <c r="E162" s="7" t="s">
        <v>43</v>
      </c>
      <c r="F162" s="6" t="s">
        <v>450</v>
      </c>
      <c r="G162" s="84">
        <f t="shared" ref="G162" si="380">FuzzyMatch(UPPER(E162),UPPER(F162))/100</f>
        <v>1</v>
      </c>
      <c r="H162" s="20">
        <f t="shared" ref="H162" si="381">AVERAGE(G162:G166)</f>
        <v>0.86799999999999999</v>
      </c>
      <c r="I162" s="53" t="str">
        <f t="shared" si="312"/>
        <v>16:21:39.597</v>
      </c>
      <c r="J162" s="54" t="str">
        <f t="shared" si="313"/>
        <v>16:21:42.560</v>
      </c>
      <c r="K162" s="46">
        <f>J162-I162</f>
        <v>3.4293981481581248E-5</v>
      </c>
      <c r="L162" s="74">
        <f t="shared" ref="L162" si="382">AVERAGE(K162:K166)</f>
        <v>3.6344907407404034E-5</v>
      </c>
      <c r="M162" s="7" t="s">
        <v>65</v>
      </c>
      <c r="N162" s="17" t="s">
        <v>19</v>
      </c>
      <c r="O162" s="77">
        <f t="shared" ref="O162" si="383">COUNTIF(N162:N166,"Yes")/5</f>
        <v>0.2</v>
      </c>
      <c r="P162" s="67"/>
      <c r="Q162" s="71" t="s">
        <v>460</v>
      </c>
      <c r="R162" s="71" t="s">
        <v>461</v>
      </c>
      <c r="S162" s="86">
        <f t="shared" si="308"/>
        <v>9</v>
      </c>
    </row>
    <row r="163" spans="1:19" x14ac:dyDescent="0.25">
      <c r="A163" s="40"/>
      <c r="B163" s="41">
        <v>2</v>
      </c>
      <c r="C163" s="9" t="str">
        <f t="shared" ref="C163" si="384">CONCATENATE(A162,".",B163)</f>
        <v>33.2</v>
      </c>
      <c r="D163" s="7"/>
      <c r="E163" s="7"/>
      <c r="F163" s="6" t="s">
        <v>451</v>
      </c>
      <c r="G163" s="84">
        <f t="shared" ref="G163" si="385">FuzzyMatch(UPPER(E162),UPPER(F163))/100</f>
        <v>0.67</v>
      </c>
      <c r="H163" s="20"/>
      <c r="I163" s="53" t="str">
        <f t="shared" si="312"/>
        <v>16:21:44.556</v>
      </c>
      <c r="J163" s="54" t="str">
        <f t="shared" si="313"/>
        <v>16:21:47.870</v>
      </c>
      <c r="K163" s="46">
        <f>J163-I163</f>
        <v>3.8356481481427451E-5</v>
      </c>
      <c r="L163" s="74"/>
      <c r="M163" s="7"/>
      <c r="N163" s="17" t="s">
        <v>20</v>
      </c>
      <c r="O163" s="26"/>
      <c r="P163" s="41" t="s">
        <v>339</v>
      </c>
      <c r="Q163" s="71" t="s">
        <v>462</v>
      </c>
      <c r="R163" s="71" t="s">
        <v>463</v>
      </c>
      <c r="S163" s="86">
        <f t="shared" si="308"/>
        <v>7</v>
      </c>
    </row>
    <row r="164" spans="1:19" x14ac:dyDescent="0.25">
      <c r="A164" s="40"/>
      <c r="B164" s="41">
        <v>3</v>
      </c>
      <c r="C164" s="9" t="str">
        <f t="shared" ref="C164" si="386">CONCATENATE(A162,".",B164)</f>
        <v>33.3</v>
      </c>
      <c r="D164" s="7"/>
      <c r="E164" s="7"/>
      <c r="F164" s="6" t="s">
        <v>452</v>
      </c>
      <c r="G164" s="84">
        <f t="shared" ref="G164" si="387">FuzzyMatch(UPPER(E162),UPPER(F164))/100</f>
        <v>0.89</v>
      </c>
      <c r="H164" s="20"/>
      <c r="I164" s="53" t="str">
        <f t="shared" si="312"/>
        <v>16:21:51.054</v>
      </c>
      <c r="J164" s="54" t="str">
        <f t="shared" si="313"/>
        <v>16:21:54.144</v>
      </c>
      <c r="K164" s="46">
        <f>J164-I164</f>
        <v>3.5763888888928896E-5</v>
      </c>
      <c r="L164" s="74"/>
      <c r="M164" s="7"/>
      <c r="N164" s="17" t="s">
        <v>20</v>
      </c>
      <c r="O164" s="26"/>
      <c r="P164" s="41" t="s">
        <v>339</v>
      </c>
      <c r="Q164" s="71" t="s">
        <v>464</v>
      </c>
      <c r="R164" s="71" t="s">
        <v>465</v>
      </c>
      <c r="S164" s="86">
        <f t="shared" si="308"/>
        <v>9</v>
      </c>
    </row>
    <row r="165" spans="1:19" x14ac:dyDescent="0.25">
      <c r="A165" s="40"/>
      <c r="B165" s="41">
        <v>4</v>
      </c>
      <c r="C165" s="9" t="str">
        <f t="shared" ref="C165" si="388">CONCATENATE(A162,".",B165)</f>
        <v>33.4</v>
      </c>
      <c r="D165" s="7"/>
      <c r="E165" s="7"/>
      <c r="F165" s="6" t="s">
        <v>452</v>
      </c>
      <c r="G165" s="84">
        <f t="shared" ref="G165" si="389">FuzzyMatch(UPPER(E162),UPPER(F165))/100</f>
        <v>0.89</v>
      </c>
      <c r="H165" s="20"/>
      <c r="I165" s="53" t="str">
        <f t="shared" si="312"/>
        <v>16:21:56.081</v>
      </c>
      <c r="J165" s="54" t="str">
        <f t="shared" si="313"/>
        <v>16:21:59.167</v>
      </c>
      <c r="K165" s="46">
        <f>J165-I165</f>
        <v>3.5717592592576786E-5</v>
      </c>
      <c r="L165" s="74"/>
      <c r="M165" s="7"/>
      <c r="N165" s="17" t="s">
        <v>20</v>
      </c>
      <c r="O165" s="26"/>
      <c r="P165" s="41" t="s">
        <v>339</v>
      </c>
      <c r="Q165" s="71" t="s">
        <v>466</v>
      </c>
      <c r="R165" s="71" t="s">
        <v>467</v>
      </c>
      <c r="S165" s="86">
        <f t="shared" si="308"/>
        <v>9</v>
      </c>
    </row>
    <row r="166" spans="1:19" x14ac:dyDescent="0.25">
      <c r="A166" s="42"/>
      <c r="B166" s="30">
        <v>5</v>
      </c>
      <c r="C166" s="31" t="str">
        <f t="shared" ref="C166" si="390">CONCATENATE(A162,".",B166)</f>
        <v>33.5</v>
      </c>
      <c r="D166" s="43"/>
      <c r="E166" s="43"/>
      <c r="F166" s="32" t="s">
        <v>452</v>
      </c>
      <c r="G166" s="85">
        <f t="shared" ref="G166" si="391">FuzzyMatch(UPPER(E162),UPPER(F166))/100</f>
        <v>0.89</v>
      </c>
      <c r="H166" s="44"/>
      <c r="I166" s="51" t="str">
        <f t="shared" si="312"/>
        <v>16:22:01.522</v>
      </c>
      <c r="J166" s="52" t="str">
        <f t="shared" si="313"/>
        <v>16:22:04.770</v>
      </c>
      <c r="K166" s="47">
        <f>J166-I166</f>
        <v>3.7592592592505802E-5</v>
      </c>
      <c r="L166" s="75"/>
      <c r="M166" s="43"/>
      <c r="N166" s="11" t="s">
        <v>20</v>
      </c>
      <c r="O166" s="78"/>
      <c r="P166" s="30" t="s">
        <v>339</v>
      </c>
      <c r="Q166" s="71" t="s">
        <v>468</v>
      </c>
      <c r="R166" s="71" t="s">
        <v>469</v>
      </c>
      <c r="S166" s="86">
        <f t="shared" si="308"/>
        <v>9</v>
      </c>
    </row>
    <row r="167" spans="1:19" x14ac:dyDescent="0.25">
      <c r="A167" s="2"/>
      <c r="C167" s="9"/>
      <c r="D167" s="27"/>
      <c r="E167" s="27"/>
      <c r="G167" s="84"/>
      <c r="H167" s="48"/>
      <c r="I167" s="53"/>
      <c r="J167" s="54"/>
      <c r="K167" s="21"/>
      <c r="L167" s="5"/>
      <c r="M167" s="10"/>
      <c r="N167" s="17"/>
      <c r="O167" s="5"/>
      <c r="P167" s="1"/>
    </row>
    <row r="168" spans="1:19" x14ac:dyDescent="0.25">
      <c r="A168" s="34"/>
      <c r="B168" s="34"/>
      <c r="C168" s="34"/>
      <c r="D168" s="34"/>
      <c r="E168" s="35"/>
      <c r="F168" s="36"/>
      <c r="G168" s="76">
        <f>AVERAGE(G2:G167)</f>
        <v>0.86824242424242404</v>
      </c>
      <c r="H168" s="39"/>
      <c r="I168" s="55"/>
      <c r="J168" s="56"/>
      <c r="K168" s="82">
        <f>AVERAGE(K2:K166)</f>
        <v>4.1363636363634161E-5</v>
      </c>
      <c r="L168" s="37"/>
      <c r="M168" s="38"/>
      <c r="N168" s="33"/>
      <c r="O168" s="79">
        <f>AVERAGE(O2:O167)</f>
        <v>0.8727272727272728</v>
      </c>
      <c r="P168" s="1"/>
    </row>
    <row r="169" spans="1:19" x14ac:dyDescent="0.25">
      <c r="A169" s="2"/>
      <c r="C169" s="9"/>
      <c r="D169" s="27"/>
      <c r="E169" s="27"/>
      <c r="G169" s="84"/>
      <c r="H169" s="48"/>
      <c r="I169" s="53"/>
      <c r="J169" s="54"/>
      <c r="K169" s="21"/>
      <c r="L169" s="5"/>
      <c r="M169" s="10"/>
      <c r="N169" s="17"/>
      <c r="O169" s="5"/>
      <c r="P169" s="1"/>
    </row>
    <row r="170" spans="1:19" x14ac:dyDescent="0.25">
      <c r="A170" s="2"/>
      <c r="C170" s="9"/>
      <c r="D170" s="27"/>
      <c r="E170" s="27"/>
      <c r="G170" s="84"/>
      <c r="H170" s="48"/>
      <c r="I170" s="53"/>
      <c r="J170" s="54"/>
      <c r="K170" s="46"/>
      <c r="L170" s="5"/>
      <c r="M170" s="10"/>
      <c r="N170" s="17"/>
      <c r="O170" s="5"/>
      <c r="P170" s="1"/>
    </row>
    <row r="171" spans="1:19" x14ac:dyDescent="0.25">
      <c r="A171" s="2"/>
      <c r="C171" s="9"/>
      <c r="D171" s="27"/>
      <c r="E171" s="27"/>
      <c r="G171" s="84"/>
      <c r="H171" s="48"/>
      <c r="I171" s="53"/>
      <c r="J171" s="54"/>
      <c r="K171" s="21"/>
      <c r="L171" s="5"/>
      <c r="M171" s="10"/>
      <c r="N171" s="17"/>
      <c r="O171" s="5"/>
      <c r="P171" s="1"/>
    </row>
    <row r="172" spans="1:19" x14ac:dyDescent="0.25">
      <c r="A172" s="2"/>
      <c r="C172" s="9"/>
      <c r="D172" s="27"/>
      <c r="E172" s="27"/>
      <c r="G172" s="50"/>
      <c r="H172" s="49"/>
      <c r="I172" s="57"/>
      <c r="J172" s="58"/>
      <c r="K172" s="15"/>
      <c r="L172" s="28"/>
      <c r="M172" s="29"/>
      <c r="N172" s="17"/>
      <c r="O172" s="28"/>
    </row>
    <row r="173" spans="1:19" x14ac:dyDescent="0.25">
      <c r="A173" s="2"/>
      <c r="C173" s="9"/>
      <c r="D173" s="27"/>
      <c r="E173" s="27"/>
      <c r="G173" s="50"/>
      <c r="H173" s="49"/>
      <c r="I173" s="57"/>
      <c r="J173" s="58"/>
      <c r="K173" s="15"/>
      <c r="L173" s="28"/>
      <c r="M173" s="29"/>
      <c r="N173" s="17"/>
      <c r="O173" s="28"/>
    </row>
    <row r="174" spans="1:19" x14ac:dyDescent="0.25">
      <c r="A174" s="2"/>
      <c r="C174" s="9"/>
      <c r="D174" s="27"/>
      <c r="E174" s="27"/>
      <c r="G174" s="50"/>
      <c r="H174" s="49"/>
      <c r="I174" s="57"/>
      <c r="J174" s="58"/>
      <c r="K174" s="15"/>
      <c r="L174" s="28"/>
      <c r="M174" s="29"/>
      <c r="N174" s="17"/>
      <c r="O174" s="28"/>
    </row>
    <row r="175" spans="1:19" x14ac:dyDescent="0.25">
      <c r="A175" s="2"/>
      <c r="C175" s="9"/>
      <c r="D175" s="27"/>
      <c r="E175" s="27"/>
      <c r="G175" s="50"/>
      <c r="H175" s="49"/>
      <c r="I175" s="57"/>
      <c r="J175" s="58"/>
      <c r="K175" s="15"/>
      <c r="L175" s="28"/>
      <c r="M175" s="29"/>
      <c r="N175" s="17"/>
      <c r="O175" s="28"/>
    </row>
    <row r="176" spans="1:19" x14ac:dyDescent="0.25">
      <c r="A176" s="2"/>
      <c r="C176" s="9"/>
      <c r="D176" s="27"/>
      <c r="E176" s="27"/>
      <c r="G176" s="50"/>
      <c r="H176" s="49"/>
      <c r="I176" s="57"/>
      <c r="J176" s="58"/>
      <c r="K176" s="15"/>
      <c r="L176" s="28"/>
      <c r="M176" s="29"/>
      <c r="N176" s="17"/>
      <c r="O176" s="28"/>
    </row>
    <row r="177" spans="1:15" x14ac:dyDescent="0.25">
      <c r="A177" s="2"/>
      <c r="C177" s="9"/>
      <c r="D177" s="27"/>
      <c r="E177" s="27"/>
      <c r="G177" s="50"/>
      <c r="H177" s="49"/>
      <c r="I177" s="57"/>
      <c r="J177" s="58"/>
      <c r="K177" s="15"/>
      <c r="L177" s="28"/>
      <c r="M177" s="29"/>
      <c r="N177" s="17"/>
      <c r="O177" s="28"/>
    </row>
    <row r="178" spans="1:15" x14ac:dyDescent="0.25">
      <c r="A178" s="2"/>
      <c r="C178" s="9"/>
      <c r="D178" s="27"/>
      <c r="E178" s="27"/>
      <c r="G178" s="50"/>
      <c r="H178" s="49"/>
      <c r="I178" s="57"/>
      <c r="J178" s="58"/>
      <c r="K178" s="15"/>
      <c r="L178" s="28"/>
      <c r="M178" s="29"/>
      <c r="N178" s="17"/>
      <c r="O178" s="28"/>
    </row>
    <row r="179" spans="1:15" x14ac:dyDescent="0.25">
      <c r="A179" s="2"/>
      <c r="C179" s="9"/>
      <c r="D179" s="27"/>
      <c r="E179" s="27"/>
      <c r="G179" s="50"/>
      <c r="H179" s="49"/>
      <c r="I179" s="57"/>
      <c r="J179" s="58"/>
      <c r="K179" s="15"/>
      <c r="L179" s="28"/>
      <c r="M179" s="29"/>
      <c r="N179" s="17"/>
      <c r="O179" s="28"/>
    </row>
    <row r="180" spans="1:15" x14ac:dyDescent="0.25">
      <c r="A180" s="2"/>
      <c r="C180" s="9"/>
      <c r="D180" s="27"/>
      <c r="E180" s="27"/>
      <c r="G180" s="50"/>
      <c r="H180" s="49"/>
      <c r="I180" s="57"/>
      <c r="J180" s="58"/>
      <c r="K180" s="15"/>
      <c r="L180" s="28"/>
      <c r="M180" s="29"/>
      <c r="N180" s="17"/>
      <c r="O180" s="28"/>
    </row>
    <row r="181" spans="1:15" x14ac:dyDescent="0.25">
      <c r="A181" s="2"/>
      <c r="C181" s="9"/>
      <c r="D181" s="27"/>
      <c r="E181" s="27"/>
      <c r="G181" s="50"/>
      <c r="H181" s="49"/>
      <c r="I181" s="57"/>
      <c r="J181" s="58"/>
      <c r="K181" s="15"/>
      <c r="L181" s="28"/>
      <c r="M181" s="29"/>
      <c r="N181" s="17"/>
      <c r="O181" s="28"/>
    </row>
    <row r="182" spans="1:15" x14ac:dyDescent="0.25">
      <c r="A182" s="2"/>
      <c r="C182" s="9"/>
      <c r="D182" s="27"/>
      <c r="E182" s="27"/>
      <c r="G182" s="50"/>
      <c r="H182" s="49"/>
      <c r="I182" s="57"/>
      <c r="J182" s="58"/>
      <c r="K182" s="15"/>
      <c r="L182" s="28"/>
      <c r="M182" s="29"/>
      <c r="N182" s="17"/>
      <c r="O182" s="28"/>
    </row>
    <row r="183" spans="1:15" x14ac:dyDescent="0.25">
      <c r="A183" s="2"/>
      <c r="C183" s="9"/>
      <c r="D183" s="27"/>
      <c r="E183" s="27"/>
      <c r="G183" s="50"/>
      <c r="H183" s="49"/>
      <c r="I183" s="57"/>
      <c r="J183" s="58"/>
      <c r="K183" s="15"/>
      <c r="L183" s="28"/>
      <c r="M183" s="29"/>
      <c r="N183" s="17"/>
      <c r="O183" s="28"/>
    </row>
    <row r="184" spans="1:15" x14ac:dyDescent="0.25">
      <c r="A184" s="2"/>
      <c r="C184" s="9"/>
      <c r="D184" s="27"/>
      <c r="E184" s="27"/>
      <c r="G184" s="50"/>
      <c r="H184" s="49"/>
      <c r="I184" s="57"/>
      <c r="J184" s="58"/>
      <c r="K184" s="15"/>
      <c r="L184" s="28"/>
      <c r="M184" s="29"/>
      <c r="N184" s="17"/>
      <c r="O184" s="28"/>
    </row>
    <row r="185" spans="1:15" x14ac:dyDescent="0.25">
      <c r="A185" s="2"/>
      <c r="C185" s="9"/>
      <c r="D185" s="27"/>
      <c r="E185" s="27"/>
      <c r="G185" s="50"/>
      <c r="H185" s="49"/>
      <c r="I185" s="57"/>
      <c r="J185" s="58"/>
      <c r="K185" s="15"/>
      <c r="L185" s="28"/>
      <c r="M185" s="29"/>
      <c r="N185" s="17"/>
      <c r="O185" s="28"/>
    </row>
    <row r="186" spans="1:15" x14ac:dyDescent="0.25">
      <c r="A186" s="2"/>
      <c r="C186" s="9"/>
      <c r="D186" s="27"/>
      <c r="E186" s="27"/>
      <c r="G186" s="50"/>
      <c r="H186" s="49"/>
      <c r="I186" s="57"/>
      <c r="J186" s="58"/>
      <c r="K186" s="15"/>
      <c r="L186" s="28"/>
      <c r="M186" s="29"/>
      <c r="N186" s="17"/>
      <c r="O186" s="28"/>
    </row>
    <row r="187" spans="1:15" x14ac:dyDescent="0.25">
      <c r="A187" s="2"/>
      <c r="C187" s="9"/>
      <c r="D187" s="27"/>
      <c r="E187" s="27"/>
      <c r="G187" s="50"/>
      <c r="H187" s="49"/>
      <c r="I187" s="57"/>
      <c r="J187" s="58"/>
      <c r="K187" s="15"/>
      <c r="L187" s="28"/>
      <c r="M187" s="29"/>
      <c r="N187" s="17"/>
      <c r="O187" s="28"/>
    </row>
    <row r="188" spans="1:15" x14ac:dyDescent="0.25">
      <c r="A188" s="2"/>
      <c r="C188" s="9"/>
      <c r="D188" s="27"/>
      <c r="E188" s="27"/>
      <c r="G188" s="50"/>
      <c r="H188" s="49"/>
      <c r="I188" s="57"/>
      <c r="J188" s="58"/>
      <c r="K188" s="15"/>
      <c r="L188" s="28"/>
      <c r="M188" s="29"/>
      <c r="N188" s="17"/>
      <c r="O188" s="28"/>
    </row>
    <row r="189" spans="1:15" x14ac:dyDescent="0.25">
      <c r="A189" s="2"/>
      <c r="C189" s="9"/>
      <c r="D189" s="27"/>
      <c r="E189" s="27"/>
      <c r="G189" s="50"/>
      <c r="H189" s="49"/>
      <c r="I189" s="57"/>
      <c r="J189" s="58"/>
      <c r="K189" s="15"/>
      <c r="L189" s="28"/>
      <c r="M189" s="29"/>
      <c r="N189" s="17"/>
      <c r="O189" s="28"/>
    </row>
    <row r="190" spans="1:15" x14ac:dyDescent="0.25">
      <c r="A190" s="2"/>
      <c r="C190" s="9"/>
      <c r="D190" s="27"/>
      <c r="E190" s="27"/>
      <c r="G190" s="50"/>
      <c r="H190" s="49"/>
      <c r="I190" s="57"/>
      <c r="J190" s="58"/>
      <c r="K190" s="15"/>
      <c r="L190" s="28"/>
      <c r="M190" s="29"/>
      <c r="N190" s="17"/>
      <c r="O190" s="28"/>
    </row>
    <row r="191" spans="1:15" x14ac:dyDescent="0.25">
      <c r="A191" s="2"/>
      <c r="C191" s="9"/>
      <c r="D191" s="27"/>
      <c r="E191" s="27"/>
      <c r="G191" s="50"/>
      <c r="H191" s="49"/>
      <c r="I191" s="57"/>
      <c r="J191" s="58"/>
      <c r="K191" s="15"/>
      <c r="L191" s="28"/>
      <c r="M191" s="29"/>
      <c r="N191" s="17"/>
      <c r="O191" s="28"/>
    </row>
    <row r="192" spans="1:15" x14ac:dyDescent="0.25">
      <c r="A192" s="2"/>
      <c r="C192" s="9"/>
      <c r="D192" s="27"/>
      <c r="E192" s="27"/>
      <c r="G192" s="50"/>
      <c r="H192" s="49"/>
      <c r="I192" s="57"/>
      <c r="J192" s="58"/>
      <c r="K192" s="15"/>
      <c r="L192" s="28"/>
      <c r="M192" s="29"/>
      <c r="N192" s="17"/>
      <c r="O192" s="28"/>
    </row>
    <row r="193" spans="1:15" x14ac:dyDescent="0.25">
      <c r="A193" s="2"/>
      <c r="C193" s="9"/>
      <c r="D193" s="27"/>
      <c r="E193" s="27"/>
      <c r="G193" s="50"/>
      <c r="H193" s="49"/>
      <c r="I193" s="57"/>
      <c r="J193" s="58"/>
      <c r="K193" s="15"/>
      <c r="L193" s="28"/>
      <c r="M193" s="29"/>
      <c r="N193" s="17"/>
      <c r="O193" s="28"/>
    </row>
    <row r="194" spans="1:15" x14ac:dyDescent="0.25">
      <c r="A194" s="2"/>
      <c r="C194" s="9"/>
      <c r="D194" s="27"/>
      <c r="E194" s="27"/>
      <c r="G194" s="50"/>
      <c r="H194" s="49"/>
      <c r="I194" s="57"/>
      <c r="J194" s="58"/>
      <c r="K194" s="15"/>
      <c r="L194" s="28"/>
      <c r="M194" s="29"/>
      <c r="N194" s="17"/>
      <c r="O194" s="28"/>
    </row>
    <row r="195" spans="1:15" x14ac:dyDescent="0.25">
      <c r="A195" s="2"/>
      <c r="C195" s="9"/>
      <c r="D195" s="27"/>
      <c r="E195" s="27"/>
      <c r="G195" s="50"/>
      <c r="H195" s="49"/>
      <c r="I195" s="57"/>
      <c r="J195" s="58"/>
      <c r="K195" s="15"/>
      <c r="L195" s="28"/>
      <c r="M195" s="29"/>
      <c r="N195" s="17"/>
      <c r="O195" s="28"/>
    </row>
    <row r="196" spans="1:15" x14ac:dyDescent="0.25">
      <c r="A196" s="2"/>
      <c r="C196" s="9"/>
      <c r="D196" s="27"/>
      <c r="E196" s="27"/>
      <c r="G196" s="50"/>
      <c r="H196" s="49"/>
      <c r="I196" s="57"/>
      <c r="J196" s="58"/>
      <c r="K196" s="15"/>
      <c r="L196" s="28"/>
      <c r="M196" s="29"/>
      <c r="N196" s="17"/>
      <c r="O196" s="28"/>
    </row>
    <row r="197" spans="1:15" x14ac:dyDescent="0.25">
      <c r="A197" s="2"/>
      <c r="C197" s="9"/>
      <c r="D197" s="27"/>
      <c r="E197" s="27"/>
      <c r="G197" s="50"/>
      <c r="H197" s="49"/>
      <c r="I197" s="57"/>
      <c r="J197" s="58"/>
      <c r="K197" s="15"/>
      <c r="L197" s="28"/>
      <c r="M197" s="29"/>
      <c r="N197" s="17"/>
      <c r="O197" s="28"/>
    </row>
    <row r="198" spans="1:15" x14ac:dyDescent="0.25">
      <c r="A198" s="2"/>
      <c r="C198" s="9"/>
      <c r="D198" s="27"/>
      <c r="E198" s="27"/>
      <c r="G198" s="50"/>
      <c r="H198" s="49"/>
      <c r="I198" s="57"/>
      <c r="J198" s="58"/>
      <c r="K198" s="15"/>
      <c r="L198" s="28"/>
      <c r="M198" s="29"/>
      <c r="N198" s="17"/>
      <c r="O198" s="28"/>
    </row>
    <row r="199" spans="1:15" x14ac:dyDescent="0.25">
      <c r="A199" s="2"/>
      <c r="C199" s="9"/>
      <c r="D199" s="27"/>
      <c r="E199" s="27"/>
      <c r="G199" s="50"/>
      <c r="H199" s="49"/>
      <c r="I199" s="57"/>
      <c r="J199" s="58"/>
      <c r="K199" s="15"/>
      <c r="L199" s="28"/>
      <c r="M199" s="29"/>
      <c r="N199" s="17"/>
      <c r="O199" s="28"/>
    </row>
    <row r="200" spans="1:15" x14ac:dyDescent="0.25">
      <c r="A200" s="2"/>
      <c r="C200" s="9"/>
      <c r="D200" s="27"/>
      <c r="E200" s="27"/>
      <c r="G200" s="50"/>
      <c r="H200" s="49"/>
      <c r="I200" s="57"/>
      <c r="J200" s="58"/>
      <c r="K200" s="15"/>
      <c r="L200" s="28"/>
      <c r="M200" s="29"/>
      <c r="N200" s="17"/>
      <c r="O200" s="28"/>
    </row>
    <row r="201" spans="1:15" x14ac:dyDescent="0.25">
      <c r="A201" s="2"/>
      <c r="C201" s="9"/>
      <c r="D201" s="27"/>
      <c r="E201" s="27"/>
      <c r="G201" s="50"/>
      <c r="H201" s="49"/>
      <c r="I201" s="57"/>
      <c r="J201" s="58"/>
      <c r="K201" s="15"/>
      <c r="L201" s="28"/>
      <c r="M201" s="29"/>
      <c r="N201" s="17"/>
      <c r="O201" s="28"/>
    </row>
    <row r="202" spans="1:15" x14ac:dyDescent="0.25">
      <c r="A202" s="2"/>
      <c r="C202" s="9"/>
      <c r="D202" s="27"/>
      <c r="E202" s="27"/>
      <c r="G202" s="50"/>
      <c r="H202" s="49"/>
      <c r="I202" s="57"/>
      <c r="J202" s="58"/>
      <c r="K202" s="15"/>
      <c r="L202" s="28"/>
      <c r="M202" s="29"/>
      <c r="N202" s="17"/>
      <c r="O202" s="28"/>
    </row>
    <row r="203" spans="1:15" x14ac:dyDescent="0.25">
      <c r="A203" s="2"/>
      <c r="C203" s="9"/>
      <c r="D203" s="27"/>
      <c r="E203" s="27"/>
      <c r="G203" s="50"/>
      <c r="H203" s="49"/>
      <c r="I203" s="57"/>
      <c r="J203" s="58"/>
      <c r="K203" s="15"/>
      <c r="L203" s="28"/>
      <c r="M203" s="29"/>
      <c r="N203" s="17"/>
      <c r="O203" s="28"/>
    </row>
    <row r="204" spans="1:15" x14ac:dyDescent="0.25">
      <c r="A204" s="2"/>
      <c r="C204" s="9"/>
      <c r="D204" s="27"/>
      <c r="E204" s="27"/>
      <c r="G204" s="50"/>
      <c r="H204" s="49"/>
      <c r="I204" s="57"/>
      <c r="J204" s="58"/>
      <c r="K204" s="15"/>
      <c r="L204" s="28"/>
      <c r="M204" s="29"/>
      <c r="N204" s="17"/>
      <c r="O204" s="28"/>
    </row>
    <row r="205" spans="1:15" x14ac:dyDescent="0.25">
      <c r="A205" s="2"/>
      <c r="C205" s="9"/>
      <c r="D205" s="27"/>
      <c r="E205" s="27"/>
      <c r="G205" s="50"/>
      <c r="H205" s="49"/>
      <c r="I205" s="57"/>
      <c r="J205" s="58"/>
      <c r="K205" s="15"/>
      <c r="L205" s="28"/>
      <c r="M205" s="29"/>
      <c r="N205" s="17"/>
      <c r="O205" s="28"/>
    </row>
    <row r="206" spans="1:15" x14ac:dyDescent="0.25">
      <c r="A206" s="2"/>
      <c r="C206" s="9"/>
      <c r="D206" s="27"/>
      <c r="E206" s="27"/>
      <c r="G206" s="50"/>
      <c r="H206" s="49"/>
      <c r="I206" s="57"/>
      <c r="J206" s="58"/>
      <c r="K206" s="15"/>
      <c r="L206" s="28"/>
      <c r="M206" s="29"/>
      <c r="N206" s="17"/>
      <c r="O206" s="28"/>
    </row>
    <row r="207" spans="1:15" x14ac:dyDescent="0.25">
      <c r="A207" s="2"/>
      <c r="C207" s="9"/>
      <c r="D207" s="27"/>
      <c r="E207" s="27"/>
      <c r="G207" s="50"/>
      <c r="H207" s="49"/>
      <c r="I207" s="57"/>
      <c r="J207" s="58"/>
      <c r="K207" s="15"/>
      <c r="L207" s="28"/>
      <c r="M207" s="29"/>
      <c r="N207" s="17"/>
      <c r="O207" s="28"/>
    </row>
    <row r="208" spans="1:15" x14ac:dyDescent="0.25">
      <c r="A208" s="2"/>
      <c r="C208" s="9"/>
      <c r="D208" s="27"/>
      <c r="E208" s="27"/>
      <c r="G208" s="50"/>
      <c r="H208" s="49"/>
      <c r="I208" s="57"/>
      <c r="J208" s="58"/>
      <c r="K208" s="15"/>
      <c r="L208" s="28"/>
      <c r="M208" s="29"/>
      <c r="N208" s="17"/>
      <c r="O208" s="28"/>
    </row>
    <row r="209" spans="1:15" x14ac:dyDescent="0.25">
      <c r="A209" s="2"/>
      <c r="C209" s="9"/>
      <c r="D209" s="27"/>
      <c r="E209" s="27"/>
      <c r="G209" s="50"/>
      <c r="H209" s="49"/>
      <c r="I209" s="57"/>
      <c r="J209" s="58"/>
      <c r="K209" s="15"/>
      <c r="L209" s="28"/>
      <c r="M209" s="29"/>
      <c r="N209" s="17"/>
      <c r="O209" s="28"/>
    </row>
    <row r="210" spans="1:15" x14ac:dyDescent="0.25">
      <c r="A210" s="2"/>
      <c r="C210" s="9"/>
      <c r="D210" s="27"/>
      <c r="E210" s="27"/>
      <c r="G210" s="50"/>
      <c r="H210" s="49"/>
      <c r="I210" s="57"/>
      <c r="J210" s="58"/>
      <c r="K210" s="15"/>
      <c r="L210" s="28"/>
      <c r="M210" s="29"/>
      <c r="N210" s="17"/>
      <c r="O210" s="28"/>
    </row>
    <row r="211" spans="1:15" x14ac:dyDescent="0.25">
      <c r="A211" s="2"/>
      <c r="C211" s="9"/>
      <c r="D211" s="27"/>
      <c r="E211" s="27"/>
      <c r="G211" s="50"/>
      <c r="H211" s="49"/>
      <c r="I211" s="57"/>
      <c r="J211" s="58"/>
      <c r="K211" s="15"/>
      <c r="L211" s="28"/>
      <c r="M211" s="29"/>
      <c r="N211" s="17"/>
      <c r="O211" s="28"/>
    </row>
    <row r="212" spans="1:15" x14ac:dyDescent="0.25">
      <c r="A212" s="2"/>
      <c r="C212" s="9"/>
      <c r="D212" s="27"/>
      <c r="E212" s="27"/>
      <c r="G212" s="50"/>
      <c r="H212" s="49"/>
      <c r="I212" s="57"/>
      <c r="J212" s="58"/>
      <c r="K212" s="15"/>
      <c r="L212" s="28"/>
      <c r="M212" s="29"/>
      <c r="N212" s="17"/>
      <c r="O212" s="28"/>
    </row>
    <row r="213" spans="1:15" x14ac:dyDescent="0.25">
      <c r="A213" s="2"/>
      <c r="C213" s="9"/>
      <c r="D213" s="27"/>
      <c r="E213" s="27"/>
      <c r="G213" s="50"/>
      <c r="H213" s="49"/>
      <c r="I213" s="57"/>
      <c r="J213" s="58"/>
      <c r="K213" s="15"/>
      <c r="L213" s="28"/>
      <c r="M213" s="29"/>
      <c r="N213" s="17"/>
      <c r="O213" s="28"/>
    </row>
    <row r="214" spans="1:15" x14ac:dyDescent="0.25">
      <c r="A214" s="2"/>
      <c r="C214" s="9"/>
      <c r="D214" s="27"/>
      <c r="E214" s="27"/>
      <c r="G214" s="50"/>
      <c r="H214" s="49"/>
      <c r="I214" s="57"/>
      <c r="J214" s="58"/>
      <c r="K214" s="15"/>
      <c r="L214" s="28"/>
      <c r="M214" s="29"/>
      <c r="N214" s="17"/>
      <c r="O214" s="28"/>
    </row>
    <row r="215" spans="1:15" x14ac:dyDescent="0.25">
      <c r="A215" s="2"/>
      <c r="C215" s="9"/>
      <c r="D215" s="27"/>
      <c r="E215" s="27"/>
      <c r="G215" s="50"/>
      <c r="H215" s="49"/>
      <c r="I215" s="57"/>
      <c r="J215" s="58"/>
      <c r="K215" s="15"/>
      <c r="L215" s="28"/>
      <c r="M215" s="29"/>
      <c r="N215" s="17"/>
      <c r="O215" s="28"/>
    </row>
    <row r="216" spans="1:15" x14ac:dyDescent="0.25">
      <c r="A216" s="2"/>
      <c r="C216" s="9"/>
      <c r="D216" s="27"/>
      <c r="E216" s="27"/>
      <c r="G216" s="50"/>
      <c r="H216" s="49"/>
      <c r="I216" s="57"/>
      <c r="J216" s="58"/>
      <c r="K216" s="15"/>
      <c r="L216" s="28"/>
      <c r="M216" s="29"/>
      <c r="N216" s="17"/>
      <c r="O216" s="28"/>
    </row>
    <row r="217" spans="1:15" x14ac:dyDescent="0.25">
      <c r="A217" s="2"/>
      <c r="C217" s="9"/>
      <c r="D217" s="27"/>
      <c r="E217" s="27"/>
      <c r="G217" s="50"/>
      <c r="H217" s="49"/>
      <c r="I217" s="57"/>
      <c r="J217" s="58"/>
      <c r="K217" s="15"/>
      <c r="L217" s="28"/>
      <c r="M217" s="29"/>
      <c r="N217" s="17"/>
      <c r="O217" s="28"/>
    </row>
    <row r="218" spans="1:15" x14ac:dyDescent="0.25">
      <c r="A218" s="2"/>
      <c r="C218" s="9"/>
      <c r="D218" s="27"/>
      <c r="E218" s="27"/>
      <c r="G218" s="50"/>
      <c r="H218" s="49"/>
      <c r="I218" s="57"/>
      <c r="J218" s="58"/>
      <c r="K218" s="15"/>
      <c r="L218" s="28"/>
      <c r="M218" s="29"/>
      <c r="N218" s="17"/>
      <c r="O218" s="28"/>
    </row>
    <row r="219" spans="1:15" x14ac:dyDescent="0.25">
      <c r="A219" s="2"/>
      <c r="C219" s="9"/>
      <c r="D219" s="27"/>
      <c r="E219" s="27"/>
      <c r="G219" s="50"/>
      <c r="H219" s="49"/>
      <c r="I219" s="57"/>
      <c r="J219" s="58"/>
      <c r="K219" s="15"/>
      <c r="L219" s="28"/>
      <c r="M219" s="29"/>
      <c r="N219" s="17"/>
      <c r="O219" s="28"/>
    </row>
    <row r="220" spans="1:15" x14ac:dyDescent="0.25">
      <c r="A220" s="2"/>
      <c r="C220" s="9"/>
      <c r="D220" s="27"/>
      <c r="E220" s="27"/>
      <c r="G220" s="50"/>
      <c r="H220" s="49"/>
      <c r="I220" s="57"/>
      <c r="J220" s="58"/>
      <c r="K220" s="15"/>
      <c r="L220" s="28"/>
      <c r="M220" s="29"/>
      <c r="N220" s="17"/>
      <c r="O220" s="28"/>
    </row>
    <row r="221" spans="1:15" x14ac:dyDescent="0.25">
      <c r="A221" s="2"/>
      <c r="C221" s="9"/>
      <c r="D221" s="27"/>
      <c r="E221" s="27"/>
      <c r="G221" s="50"/>
      <c r="H221" s="49"/>
      <c r="I221" s="57"/>
      <c r="J221" s="58"/>
      <c r="K221" s="15"/>
      <c r="L221" s="28"/>
      <c r="M221" s="29"/>
      <c r="N221" s="17"/>
      <c r="O221" s="28"/>
    </row>
    <row r="222" spans="1:15" x14ac:dyDescent="0.25">
      <c r="A222" s="2"/>
      <c r="C222" s="9"/>
      <c r="D222" s="27"/>
      <c r="E222" s="27"/>
      <c r="G222" s="50"/>
      <c r="H222" s="49"/>
      <c r="I222" s="57"/>
      <c r="J222" s="58"/>
      <c r="K222" s="15"/>
      <c r="L222" s="28"/>
      <c r="M222" s="29"/>
      <c r="N222" s="17"/>
      <c r="O222" s="28"/>
    </row>
    <row r="223" spans="1:15" x14ac:dyDescent="0.25">
      <c r="A223" s="2"/>
      <c r="C223" s="9"/>
      <c r="D223" s="27"/>
      <c r="E223" s="27"/>
      <c r="G223" s="50"/>
      <c r="H223" s="49"/>
      <c r="I223" s="57"/>
      <c r="J223" s="58"/>
      <c r="K223" s="15"/>
      <c r="L223" s="28"/>
      <c r="M223" s="29"/>
      <c r="N223" s="17"/>
      <c r="O223" s="28"/>
    </row>
    <row r="224" spans="1:15" x14ac:dyDescent="0.25">
      <c r="A224" s="2"/>
      <c r="C224" s="9"/>
      <c r="D224" s="27"/>
      <c r="E224" s="27"/>
      <c r="G224" s="50"/>
      <c r="H224" s="49"/>
      <c r="I224" s="57"/>
      <c r="J224" s="58"/>
      <c r="K224" s="15"/>
      <c r="L224" s="28"/>
      <c r="M224" s="29"/>
      <c r="N224" s="17"/>
      <c r="O224" s="28"/>
    </row>
    <row r="225" spans="1:15" x14ac:dyDescent="0.25">
      <c r="A225" s="2"/>
      <c r="C225" s="9"/>
      <c r="D225" s="27"/>
      <c r="E225" s="27"/>
      <c r="G225" s="50"/>
      <c r="H225" s="49"/>
      <c r="I225" s="57"/>
      <c r="J225" s="58"/>
      <c r="K225" s="15"/>
      <c r="L225" s="28"/>
      <c r="M225" s="29"/>
      <c r="N225" s="17"/>
      <c r="O225" s="28"/>
    </row>
    <row r="226" spans="1:15" x14ac:dyDescent="0.25">
      <c r="A226" s="2"/>
      <c r="C226" s="9"/>
      <c r="D226" s="27"/>
      <c r="E226" s="27"/>
      <c r="G226" s="50"/>
      <c r="H226" s="49"/>
      <c r="I226" s="57"/>
      <c r="J226" s="58"/>
      <c r="K226" s="15"/>
      <c r="L226" s="28"/>
      <c r="M226" s="29"/>
      <c r="N226" s="17"/>
      <c r="O226" s="28"/>
    </row>
    <row r="227" spans="1:15" x14ac:dyDescent="0.25">
      <c r="A227" s="2"/>
      <c r="C227" s="9"/>
      <c r="D227" s="27"/>
      <c r="E227" s="27"/>
      <c r="G227" s="50"/>
      <c r="H227" s="49"/>
      <c r="I227" s="57"/>
      <c r="J227" s="58"/>
      <c r="K227" s="15"/>
      <c r="L227" s="28"/>
      <c r="M227" s="29"/>
      <c r="N227" s="17"/>
      <c r="O227" s="28"/>
    </row>
    <row r="228" spans="1:15" x14ac:dyDescent="0.25">
      <c r="A228" s="2"/>
      <c r="C228" s="9"/>
      <c r="D228" s="27"/>
      <c r="E228" s="27"/>
      <c r="G228" s="50"/>
      <c r="H228" s="49"/>
      <c r="I228" s="57"/>
      <c r="J228" s="58"/>
      <c r="K228" s="15"/>
      <c r="L228" s="28"/>
      <c r="M228" s="29"/>
      <c r="N228" s="17"/>
      <c r="O228" s="28"/>
    </row>
    <row r="229" spans="1:15" x14ac:dyDescent="0.25">
      <c r="A229" s="2"/>
      <c r="C229" s="9"/>
      <c r="D229" s="27"/>
      <c r="E229" s="27"/>
      <c r="G229" s="50"/>
      <c r="H229" s="49"/>
      <c r="I229" s="57"/>
      <c r="J229" s="58"/>
      <c r="K229" s="15"/>
      <c r="L229" s="28"/>
      <c r="M229" s="29"/>
      <c r="N229" s="17"/>
      <c r="O229" s="28"/>
    </row>
    <row r="230" spans="1:15" x14ac:dyDescent="0.25">
      <c r="A230" s="2"/>
      <c r="C230" s="9"/>
      <c r="D230" s="27"/>
      <c r="E230" s="27"/>
      <c r="G230" s="50"/>
      <c r="H230" s="49"/>
      <c r="I230" s="57"/>
      <c r="J230" s="58"/>
      <c r="K230" s="15"/>
      <c r="L230" s="28"/>
      <c r="M230" s="29"/>
      <c r="N230" s="17"/>
      <c r="O230" s="28"/>
    </row>
    <row r="231" spans="1:15" x14ac:dyDescent="0.25">
      <c r="A231" s="2"/>
      <c r="C231" s="9"/>
      <c r="D231" s="27"/>
      <c r="E231" s="27"/>
      <c r="G231" s="50"/>
      <c r="H231" s="49"/>
      <c r="I231" s="57"/>
      <c r="J231" s="58"/>
      <c r="K231" s="15"/>
      <c r="L231" s="28"/>
      <c r="M231" s="29"/>
      <c r="N231" s="17"/>
      <c r="O231" s="28"/>
    </row>
    <row r="232" spans="1:15" x14ac:dyDescent="0.25">
      <c r="A232" s="2"/>
      <c r="C232" s="9"/>
      <c r="D232" s="27"/>
      <c r="E232" s="27"/>
      <c r="G232" s="50"/>
      <c r="H232" s="49"/>
      <c r="I232" s="57"/>
      <c r="J232" s="58"/>
      <c r="K232" s="15"/>
      <c r="L232" s="28"/>
      <c r="M232" s="29"/>
      <c r="N232" s="17"/>
      <c r="O232" s="28"/>
    </row>
    <row r="233" spans="1:15" x14ac:dyDescent="0.25">
      <c r="A233" s="2"/>
      <c r="C233" s="9"/>
      <c r="D233" s="27"/>
      <c r="E233" s="27"/>
      <c r="G233" s="50"/>
      <c r="H233" s="49"/>
      <c r="I233" s="57"/>
      <c r="J233" s="58"/>
      <c r="K233" s="15"/>
      <c r="L233" s="28"/>
      <c r="M233" s="29"/>
      <c r="N233" s="17"/>
      <c r="O233" s="28"/>
    </row>
    <row r="234" spans="1:15" x14ac:dyDescent="0.25">
      <c r="A234" s="2"/>
      <c r="C234" s="9"/>
      <c r="D234" s="27"/>
      <c r="E234" s="27"/>
      <c r="G234" s="50"/>
      <c r="H234" s="49"/>
      <c r="I234" s="57"/>
      <c r="J234" s="58"/>
      <c r="K234" s="15"/>
      <c r="L234" s="28"/>
      <c r="M234" s="29"/>
      <c r="N234" s="17"/>
      <c r="O234" s="28"/>
    </row>
    <row r="235" spans="1:15" x14ac:dyDescent="0.25">
      <c r="A235" s="2"/>
      <c r="C235" s="9"/>
      <c r="D235" s="27"/>
      <c r="E235" s="27"/>
      <c r="G235" s="50"/>
      <c r="H235" s="49"/>
      <c r="I235" s="57"/>
      <c r="J235" s="58"/>
      <c r="K235" s="15"/>
      <c r="L235" s="28"/>
      <c r="M235" s="29"/>
      <c r="N235" s="17"/>
      <c r="O235" s="28"/>
    </row>
    <row r="236" spans="1:15" x14ac:dyDescent="0.25">
      <c r="A236" s="2"/>
      <c r="C236" s="9"/>
      <c r="D236" s="27"/>
      <c r="E236" s="27"/>
      <c r="G236" s="50"/>
      <c r="H236" s="49"/>
      <c r="I236" s="57"/>
      <c r="J236" s="58"/>
      <c r="K236" s="15"/>
      <c r="L236" s="28"/>
      <c r="M236" s="29"/>
      <c r="N236" s="17"/>
      <c r="O236" s="28"/>
    </row>
    <row r="237" spans="1:15" x14ac:dyDescent="0.25">
      <c r="A237" s="2"/>
      <c r="C237" s="9"/>
      <c r="D237" s="27"/>
      <c r="E237" s="27"/>
      <c r="G237" s="50"/>
      <c r="H237" s="49"/>
      <c r="I237" s="57"/>
      <c r="J237" s="58"/>
      <c r="K237" s="15"/>
      <c r="L237" s="28"/>
      <c r="M237" s="29"/>
      <c r="N237" s="17"/>
      <c r="O237" s="28"/>
    </row>
    <row r="238" spans="1:15" x14ac:dyDescent="0.25">
      <c r="A238" s="2"/>
      <c r="C238" s="9"/>
      <c r="D238" s="27"/>
      <c r="E238" s="27"/>
      <c r="G238" s="50"/>
      <c r="H238" s="49"/>
      <c r="I238" s="57"/>
      <c r="J238" s="58"/>
      <c r="K238" s="15"/>
      <c r="L238" s="28"/>
      <c r="M238" s="29"/>
      <c r="N238" s="17"/>
      <c r="O238" s="28"/>
    </row>
    <row r="239" spans="1:15" x14ac:dyDescent="0.25">
      <c r="A239" s="2"/>
      <c r="C239" s="9"/>
      <c r="D239" s="27"/>
      <c r="E239" s="27"/>
      <c r="G239" s="50"/>
      <c r="H239" s="49"/>
      <c r="I239" s="57"/>
      <c r="J239" s="58"/>
      <c r="K239" s="15"/>
      <c r="L239" s="28"/>
      <c r="M239" s="29"/>
      <c r="N239" s="17"/>
      <c r="O239" s="28"/>
    </row>
    <row r="240" spans="1:15" x14ac:dyDescent="0.25">
      <c r="A240" s="2"/>
      <c r="C240" s="9"/>
      <c r="D240" s="27"/>
      <c r="E240" s="27"/>
      <c r="G240" s="50"/>
      <c r="H240" s="49"/>
      <c r="I240" s="57"/>
      <c r="J240" s="58"/>
      <c r="K240" s="15"/>
      <c r="L240" s="28"/>
      <c r="M240" s="29"/>
      <c r="N240" s="17"/>
      <c r="O240" s="28"/>
    </row>
    <row r="241" spans="1:15" x14ac:dyDescent="0.25">
      <c r="A241" s="2"/>
      <c r="C241" s="9"/>
      <c r="D241" s="27"/>
      <c r="E241" s="27"/>
      <c r="G241" s="50"/>
      <c r="H241" s="49"/>
      <c r="I241" s="57"/>
      <c r="J241" s="58"/>
      <c r="K241" s="15"/>
      <c r="L241" s="28"/>
      <c r="M241" s="29"/>
      <c r="N241" s="17"/>
      <c r="O241" s="28"/>
    </row>
    <row r="242" spans="1:15" x14ac:dyDescent="0.25">
      <c r="A242" s="2"/>
      <c r="C242" s="9"/>
      <c r="D242" s="27"/>
      <c r="E242" s="27"/>
      <c r="G242" s="50"/>
      <c r="H242" s="49"/>
      <c r="I242" s="57"/>
      <c r="J242" s="58"/>
      <c r="K242" s="15"/>
      <c r="L242" s="28"/>
      <c r="M242" s="29"/>
      <c r="N242" s="17"/>
      <c r="O242" s="28"/>
    </row>
    <row r="243" spans="1:15" x14ac:dyDescent="0.25">
      <c r="A243" s="2"/>
      <c r="C243" s="9"/>
      <c r="D243" s="27"/>
      <c r="E243" s="27"/>
      <c r="G243" s="50"/>
      <c r="H243" s="49"/>
      <c r="I243" s="57"/>
      <c r="J243" s="58"/>
      <c r="K243" s="15"/>
      <c r="L243" s="28"/>
      <c r="M243" s="29"/>
      <c r="N243" s="17"/>
      <c r="O243" s="28"/>
    </row>
    <row r="244" spans="1:15" x14ac:dyDescent="0.25">
      <c r="A244" s="2"/>
      <c r="C244" s="9"/>
      <c r="D244" s="27"/>
      <c r="E244" s="27"/>
      <c r="G244" s="50"/>
      <c r="H244" s="49"/>
      <c r="I244" s="57"/>
      <c r="J244" s="58"/>
      <c r="K244" s="15"/>
      <c r="L244" s="28"/>
      <c r="M244" s="29"/>
      <c r="N244" s="17"/>
      <c r="O244" s="28"/>
    </row>
    <row r="245" spans="1:15" x14ac:dyDescent="0.25">
      <c r="A245" s="2"/>
      <c r="C245" s="9"/>
      <c r="D245" s="27"/>
      <c r="E245" s="27"/>
      <c r="G245" s="50"/>
      <c r="H245" s="49"/>
      <c r="I245" s="57"/>
      <c r="J245" s="58"/>
      <c r="K245" s="15"/>
      <c r="L245" s="28"/>
      <c r="M245" s="29"/>
      <c r="N245" s="17"/>
      <c r="O245" s="28"/>
    </row>
    <row r="246" spans="1:15" x14ac:dyDescent="0.25">
      <c r="A246" s="2"/>
      <c r="C246" s="9"/>
      <c r="D246" s="27"/>
      <c r="E246" s="27"/>
      <c r="G246" s="50"/>
      <c r="H246" s="49"/>
      <c r="I246" s="57"/>
      <c r="J246" s="58"/>
      <c r="K246" s="15"/>
      <c r="L246" s="28"/>
      <c r="M246" s="29"/>
      <c r="N246" s="17"/>
      <c r="O246" s="28"/>
    </row>
    <row r="247" spans="1:15" x14ac:dyDescent="0.25">
      <c r="A247" s="2"/>
      <c r="C247" s="9"/>
      <c r="D247" s="27"/>
      <c r="E247" s="27"/>
      <c r="G247" s="50"/>
      <c r="H247" s="49"/>
      <c r="I247" s="57"/>
      <c r="J247" s="58"/>
      <c r="K247" s="15"/>
      <c r="L247" s="28"/>
      <c r="M247" s="29"/>
      <c r="N247" s="17"/>
      <c r="O247" s="28"/>
    </row>
    <row r="248" spans="1:15" x14ac:dyDescent="0.25">
      <c r="A248" s="2"/>
      <c r="C248" s="9"/>
      <c r="D248" s="27"/>
      <c r="E248" s="27"/>
      <c r="G248" s="50"/>
      <c r="H248" s="49"/>
      <c r="I248" s="57"/>
      <c r="J248" s="58"/>
      <c r="K248" s="15"/>
      <c r="L248" s="28"/>
      <c r="M248" s="29"/>
      <c r="N248" s="17"/>
      <c r="O248" s="28"/>
    </row>
    <row r="249" spans="1:15" x14ac:dyDescent="0.25">
      <c r="A249" s="2"/>
      <c r="C249" s="9"/>
      <c r="D249" s="27"/>
      <c r="E249" s="27"/>
      <c r="G249" s="50"/>
      <c r="H249" s="49"/>
      <c r="I249" s="57"/>
      <c r="J249" s="58"/>
      <c r="K249" s="15"/>
      <c r="L249" s="28"/>
      <c r="M249" s="29"/>
      <c r="N249" s="17"/>
      <c r="O249" s="28"/>
    </row>
    <row r="250" spans="1:15" x14ac:dyDescent="0.25">
      <c r="A250" s="2"/>
      <c r="C250" s="9"/>
      <c r="D250" s="27"/>
      <c r="E250" s="27"/>
      <c r="G250" s="50"/>
      <c r="H250" s="49"/>
      <c r="I250" s="57"/>
      <c r="J250" s="58"/>
      <c r="K250" s="15"/>
      <c r="L250" s="28"/>
      <c r="M250" s="29"/>
      <c r="N250" s="17"/>
      <c r="O250" s="28"/>
    </row>
    <row r="251" spans="1:15" x14ac:dyDescent="0.25">
      <c r="A251" s="2"/>
      <c r="C251" s="9"/>
      <c r="D251" s="27"/>
      <c r="E251" s="27"/>
      <c r="G251" s="50"/>
      <c r="H251" s="49"/>
      <c r="I251" s="57"/>
      <c r="J251" s="58"/>
      <c r="K251" s="15"/>
      <c r="L251" s="28"/>
      <c r="M251" s="29"/>
      <c r="N251" s="17"/>
      <c r="O251" s="28"/>
    </row>
    <row r="252" spans="1:15" x14ac:dyDescent="0.25">
      <c r="A252" s="2"/>
      <c r="C252" s="9"/>
      <c r="D252" s="27"/>
      <c r="E252" s="27"/>
      <c r="G252" s="50"/>
      <c r="H252" s="49"/>
      <c r="I252" s="57"/>
      <c r="J252" s="58"/>
      <c r="K252" s="15"/>
      <c r="L252" s="28"/>
      <c r="M252" s="29"/>
      <c r="N252" s="17"/>
      <c r="O252" s="28"/>
    </row>
    <row r="253" spans="1:15" x14ac:dyDescent="0.25">
      <c r="A253" s="2"/>
      <c r="C253" s="9"/>
      <c r="D253" s="27"/>
      <c r="E253" s="27"/>
      <c r="G253" s="50"/>
      <c r="H253" s="49"/>
      <c r="I253" s="57"/>
      <c r="J253" s="58"/>
      <c r="K253" s="15"/>
      <c r="L253" s="28"/>
      <c r="M253" s="29"/>
      <c r="N253" s="17"/>
      <c r="O253" s="28"/>
    </row>
    <row r="254" spans="1:15" x14ac:dyDescent="0.25">
      <c r="A254" s="2"/>
      <c r="C254" s="9"/>
      <c r="D254" s="27"/>
      <c r="E254" s="27"/>
      <c r="G254" s="50"/>
      <c r="H254" s="49"/>
      <c r="I254" s="57"/>
      <c r="J254" s="58"/>
      <c r="K254" s="15"/>
      <c r="L254" s="28"/>
      <c r="M254" s="29"/>
      <c r="N254" s="17"/>
      <c r="O254" s="28"/>
    </row>
    <row r="255" spans="1:15" x14ac:dyDescent="0.25">
      <c r="A255" s="2"/>
      <c r="C255" s="9"/>
      <c r="D255" s="27"/>
      <c r="E255" s="27"/>
      <c r="G255" s="50"/>
      <c r="H255" s="49"/>
      <c r="I255" s="57"/>
      <c r="J255" s="58"/>
      <c r="K255" s="15"/>
      <c r="L255" s="28"/>
      <c r="M255" s="29"/>
      <c r="N255" s="17"/>
      <c r="O255" s="28"/>
    </row>
    <row r="256" spans="1:15" x14ac:dyDescent="0.25">
      <c r="A256" s="2"/>
      <c r="C256" s="9"/>
      <c r="D256" s="27"/>
      <c r="E256" s="27"/>
      <c r="G256" s="50"/>
      <c r="H256" s="49"/>
      <c r="I256" s="57"/>
      <c r="J256" s="58"/>
      <c r="K256" s="15"/>
      <c r="L256" s="28"/>
      <c r="M256" s="29"/>
      <c r="N256" s="17"/>
      <c r="O256" s="28"/>
    </row>
    <row r="257" spans="1:15" x14ac:dyDescent="0.25">
      <c r="A257" s="2"/>
      <c r="C257" s="9"/>
      <c r="D257" s="27"/>
      <c r="E257" s="27"/>
      <c r="G257" s="50"/>
      <c r="H257" s="49"/>
      <c r="I257" s="57"/>
      <c r="J257" s="58"/>
      <c r="K257" s="15"/>
      <c r="L257" s="28"/>
      <c r="M257" s="29"/>
      <c r="N257" s="17"/>
      <c r="O257" s="28"/>
    </row>
    <row r="258" spans="1:15" x14ac:dyDescent="0.25">
      <c r="A258" s="2"/>
      <c r="C258" s="9"/>
      <c r="D258" s="27"/>
      <c r="E258" s="27"/>
      <c r="G258" s="50"/>
      <c r="H258" s="49"/>
      <c r="I258" s="57"/>
      <c r="J258" s="58"/>
      <c r="K258" s="15"/>
      <c r="L258" s="28"/>
      <c r="M258" s="29"/>
      <c r="N258" s="17"/>
      <c r="O258" s="28"/>
    </row>
    <row r="259" spans="1:15" x14ac:dyDescent="0.25">
      <c r="A259" s="2"/>
      <c r="C259" s="9"/>
      <c r="D259" s="27"/>
      <c r="E259" s="27"/>
      <c r="G259" s="50"/>
      <c r="H259" s="49"/>
      <c r="I259" s="57"/>
      <c r="J259" s="58"/>
      <c r="K259" s="15"/>
      <c r="L259" s="28"/>
      <c r="M259" s="29"/>
      <c r="N259" s="17"/>
      <c r="O259" s="28"/>
    </row>
    <row r="260" spans="1:15" x14ac:dyDescent="0.25">
      <c r="A260" s="2"/>
      <c r="C260" s="9"/>
      <c r="D260" s="27"/>
      <c r="E260" s="27"/>
      <c r="G260" s="50"/>
      <c r="H260" s="49"/>
      <c r="I260" s="57"/>
      <c r="J260" s="58"/>
      <c r="K260" s="15"/>
      <c r="L260" s="28"/>
      <c r="M260" s="29"/>
      <c r="N260" s="17"/>
      <c r="O260" s="28"/>
    </row>
    <row r="261" spans="1:15" x14ac:dyDescent="0.25">
      <c r="A261" s="2"/>
      <c r="C261" s="9"/>
      <c r="D261" s="27"/>
      <c r="E261" s="27"/>
      <c r="G261" s="50"/>
      <c r="H261" s="49"/>
      <c r="I261" s="57"/>
      <c r="J261" s="58"/>
      <c r="K261" s="15"/>
      <c r="L261" s="28"/>
      <c r="M261" s="29"/>
      <c r="N261" s="17"/>
      <c r="O261" s="28"/>
    </row>
    <row r="262" spans="1:15" x14ac:dyDescent="0.25">
      <c r="A262" s="2"/>
      <c r="C262" s="9"/>
      <c r="D262" s="27"/>
      <c r="E262" s="27"/>
      <c r="G262" s="50"/>
      <c r="H262" s="49"/>
      <c r="I262" s="57"/>
      <c r="J262" s="58"/>
      <c r="K262" s="15"/>
      <c r="L262" s="28"/>
      <c r="M262" s="29"/>
      <c r="N262" s="17"/>
      <c r="O262" s="28"/>
    </row>
    <row r="263" spans="1:15" x14ac:dyDescent="0.25">
      <c r="A263" s="2"/>
      <c r="C263" s="9"/>
      <c r="D263" s="27"/>
      <c r="E263" s="27"/>
      <c r="G263" s="50"/>
      <c r="H263" s="49"/>
      <c r="I263" s="57"/>
      <c r="J263" s="58"/>
      <c r="K263" s="15"/>
      <c r="L263" s="28"/>
      <c r="M263" s="29"/>
      <c r="N263" s="17"/>
      <c r="O263" s="28"/>
    </row>
    <row r="264" spans="1:15" x14ac:dyDescent="0.25">
      <c r="A264" s="2"/>
      <c r="C264" s="9"/>
      <c r="D264" s="27"/>
      <c r="E264" s="27"/>
      <c r="G264" s="50"/>
      <c r="H264" s="49"/>
      <c r="I264" s="57"/>
      <c r="J264" s="58"/>
      <c r="K264" s="15"/>
      <c r="L264" s="28"/>
      <c r="M264" s="29"/>
      <c r="N264" s="17"/>
      <c r="O264" s="28"/>
    </row>
    <row r="265" spans="1:15" x14ac:dyDescent="0.25">
      <c r="A265" s="2"/>
      <c r="C265" s="9"/>
      <c r="D265" s="27"/>
      <c r="E265" s="27"/>
      <c r="G265" s="50"/>
      <c r="H265" s="49"/>
      <c r="I265" s="57"/>
      <c r="J265" s="58"/>
      <c r="K265" s="15"/>
      <c r="L265" s="28"/>
      <c r="M265" s="29"/>
      <c r="N265" s="17"/>
      <c r="O265" s="28"/>
    </row>
    <row r="266" spans="1:15" x14ac:dyDescent="0.25">
      <c r="A266" s="2"/>
      <c r="C266" s="9"/>
      <c r="D266" s="27"/>
      <c r="E266" s="27"/>
      <c r="G266" s="50"/>
      <c r="H266" s="49"/>
      <c r="I266" s="57"/>
      <c r="J266" s="58"/>
      <c r="K266" s="15"/>
      <c r="L266" s="28"/>
      <c r="M266" s="29"/>
      <c r="N266" s="17"/>
      <c r="O266" s="28"/>
    </row>
  </sheetData>
  <mergeCells count="232">
    <mergeCell ref="O127:O131"/>
    <mergeCell ref="A132:A136"/>
    <mergeCell ref="D132:D136"/>
    <mergeCell ref="E132:E136"/>
    <mergeCell ref="H132:H136"/>
    <mergeCell ref="L132:L136"/>
    <mergeCell ref="O132:O136"/>
    <mergeCell ref="E147:E151"/>
    <mergeCell ref="A107:A111"/>
    <mergeCell ref="D107:D111"/>
    <mergeCell ref="E107:E111"/>
    <mergeCell ref="H107:H111"/>
    <mergeCell ref="L107:L111"/>
    <mergeCell ref="A112:A116"/>
    <mergeCell ref="D112:D116"/>
    <mergeCell ref="E112:E116"/>
    <mergeCell ref="H112:H116"/>
    <mergeCell ref="D152:D156"/>
    <mergeCell ref="D157:D161"/>
    <mergeCell ref="D162:D166"/>
    <mergeCell ref="A168:E168"/>
    <mergeCell ref="D92:D96"/>
    <mergeCell ref="D97:D101"/>
    <mergeCell ref="D102:D106"/>
    <mergeCell ref="D137:D141"/>
    <mergeCell ref="D142:D146"/>
    <mergeCell ref="D147:D151"/>
    <mergeCell ref="D117:D121"/>
    <mergeCell ref="D122:D126"/>
    <mergeCell ref="D127:D131"/>
    <mergeCell ref="D62:D66"/>
    <mergeCell ref="D67:D71"/>
    <mergeCell ref="D72:D76"/>
    <mergeCell ref="D77:D81"/>
    <mergeCell ref="D82:D86"/>
    <mergeCell ref="D87:D91"/>
    <mergeCell ref="D32:D36"/>
    <mergeCell ref="D37:D41"/>
    <mergeCell ref="D42:D46"/>
    <mergeCell ref="D47:D51"/>
    <mergeCell ref="D52:D56"/>
    <mergeCell ref="D57:D61"/>
    <mergeCell ref="D2:D6"/>
    <mergeCell ref="D7:D11"/>
    <mergeCell ref="D12:D16"/>
    <mergeCell ref="D17:D21"/>
    <mergeCell ref="D22:D26"/>
    <mergeCell ref="D27:D31"/>
    <mergeCell ref="L152:L156"/>
    <mergeCell ref="L157:L161"/>
    <mergeCell ref="L162:L166"/>
    <mergeCell ref="L92:L96"/>
    <mergeCell ref="L97:L101"/>
    <mergeCell ref="L102:L106"/>
    <mergeCell ref="L137:L141"/>
    <mergeCell ref="L142:L146"/>
    <mergeCell ref="L147:L151"/>
    <mergeCell ref="L112:L116"/>
    <mergeCell ref="L117:L121"/>
    <mergeCell ref="L122:L126"/>
    <mergeCell ref="L127:L131"/>
    <mergeCell ref="L62:L66"/>
    <mergeCell ref="L67:L71"/>
    <mergeCell ref="L72:L76"/>
    <mergeCell ref="L77:L81"/>
    <mergeCell ref="L82:L86"/>
    <mergeCell ref="L87:L91"/>
    <mergeCell ref="L32:L36"/>
    <mergeCell ref="L37:L41"/>
    <mergeCell ref="L42:L46"/>
    <mergeCell ref="L47:L51"/>
    <mergeCell ref="L52:L56"/>
    <mergeCell ref="L57:L61"/>
    <mergeCell ref="L2:L6"/>
    <mergeCell ref="L7:L11"/>
    <mergeCell ref="L12:L16"/>
    <mergeCell ref="L17:L21"/>
    <mergeCell ref="L22:L26"/>
    <mergeCell ref="L27:L31"/>
    <mergeCell ref="M152:M156"/>
    <mergeCell ref="M162:M166"/>
    <mergeCell ref="M122:M126"/>
    <mergeCell ref="M127:M131"/>
    <mergeCell ref="M132:M136"/>
    <mergeCell ref="M137:M141"/>
    <mergeCell ref="M147:M151"/>
    <mergeCell ref="M107:M111"/>
    <mergeCell ref="M112:M116"/>
    <mergeCell ref="M117:M121"/>
    <mergeCell ref="M77:M81"/>
    <mergeCell ref="M82:M86"/>
    <mergeCell ref="M87:M91"/>
    <mergeCell ref="M37:M41"/>
    <mergeCell ref="M42:M46"/>
    <mergeCell ref="M47:M51"/>
    <mergeCell ref="M57:M61"/>
    <mergeCell ref="M12:M16"/>
    <mergeCell ref="M27:M31"/>
    <mergeCell ref="O152:O156"/>
    <mergeCell ref="O157:O161"/>
    <mergeCell ref="O162:O166"/>
    <mergeCell ref="O92:O96"/>
    <mergeCell ref="O97:O101"/>
    <mergeCell ref="O102:O106"/>
    <mergeCell ref="O137:O141"/>
    <mergeCell ref="O142:O146"/>
    <mergeCell ref="O147:O151"/>
    <mergeCell ref="O107:O111"/>
    <mergeCell ref="O112:O116"/>
    <mergeCell ref="O117:O121"/>
    <mergeCell ref="O122:O126"/>
    <mergeCell ref="O62:O66"/>
    <mergeCell ref="O67:O71"/>
    <mergeCell ref="O72:O76"/>
    <mergeCell ref="O77:O81"/>
    <mergeCell ref="O82:O86"/>
    <mergeCell ref="O87:O91"/>
    <mergeCell ref="O32:O36"/>
    <mergeCell ref="O37:O41"/>
    <mergeCell ref="O42:O46"/>
    <mergeCell ref="O47:O51"/>
    <mergeCell ref="O52:O56"/>
    <mergeCell ref="O57:O61"/>
    <mergeCell ref="O2:O6"/>
    <mergeCell ref="O7:O11"/>
    <mergeCell ref="O12:O16"/>
    <mergeCell ref="O17:O21"/>
    <mergeCell ref="O22:O26"/>
    <mergeCell ref="O27:O31"/>
    <mergeCell ref="H152:H156"/>
    <mergeCell ref="H157:H161"/>
    <mergeCell ref="H162:H166"/>
    <mergeCell ref="H92:H96"/>
    <mergeCell ref="H97:H101"/>
    <mergeCell ref="H102:H106"/>
    <mergeCell ref="H137:H141"/>
    <mergeCell ref="H142:H146"/>
    <mergeCell ref="H147:H151"/>
    <mergeCell ref="H117:H121"/>
    <mergeCell ref="H122:H126"/>
    <mergeCell ref="H127:H131"/>
    <mergeCell ref="H62:H66"/>
    <mergeCell ref="H67:H71"/>
    <mergeCell ref="H72:H76"/>
    <mergeCell ref="H77:H81"/>
    <mergeCell ref="H82:H86"/>
    <mergeCell ref="H87:H91"/>
    <mergeCell ref="H32:H36"/>
    <mergeCell ref="H37:H41"/>
    <mergeCell ref="H42:H46"/>
    <mergeCell ref="H47:H51"/>
    <mergeCell ref="H52:H56"/>
    <mergeCell ref="H57:H61"/>
    <mergeCell ref="H2:H6"/>
    <mergeCell ref="H7:H11"/>
    <mergeCell ref="H12:H16"/>
    <mergeCell ref="H17:H21"/>
    <mergeCell ref="H22:H26"/>
    <mergeCell ref="H27:H31"/>
    <mergeCell ref="M157:M161"/>
    <mergeCell ref="M92:M96"/>
    <mergeCell ref="M97:M101"/>
    <mergeCell ref="M102:M106"/>
    <mergeCell ref="M142:M146"/>
    <mergeCell ref="M62:M66"/>
    <mergeCell ref="M67:M71"/>
    <mergeCell ref="M72:M76"/>
    <mergeCell ref="M32:M36"/>
    <mergeCell ref="M52:M56"/>
    <mergeCell ref="M2:M6"/>
    <mergeCell ref="M7:M11"/>
    <mergeCell ref="M17:M21"/>
    <mergeCell ref="M22:M26"/>
    <mergeCell ref="A77:A81"/>
    <mergeCell ref="A82:A86"/>
    <mergeCell ref="A67:A71"/>
    <mergeCell ref="A72:A76"/>
    <mergeCell ref="A62:A66"/>
    <mergeCell ref="A12:A16"/>
    <mergeCell ref="A147:A151"/>
    <mergeCell ref="A137:A141"/>
    <mergeCell ref="A142:A146"/>
    <mergeCell ref="A97:A101"/>
    <mergeCell ref="A102:A106"/>
    <mergeCell ref="A87:A91"/>
    <mergeCell ref="A92:A96"/>
    <mergeCell ref="A117:A121"/>
    <mergeCell ref="A122:A126"/>
    <mergeCell ref="A127:A131"/>
    <mergeCell ref="A162:A166"/>
    <mergeCell ref="A152:A156"/>
    <mergeCell ref="A157:A161"/>
    <mergeCell ref="A42:A46"/>
    <mergeCell ref="A47:A51"/>
    <mergeCell ref="A52:A56"/>
    <mergeCell ref="A57:A61"/>
    <mergeCell ref="A17:A21"/>
    <mergeCell ref="A22:A26"/>
    <mergeCell ref="A27:A31"/>
    <mergeCell ref="A32:A36"/>
    <mergeCell ref="A37:A41"/>
    <mergeCell ref="A7:A11"/>
    <mergeCell ref="A2:A6"/>
    <mergeCell ref="E152:E156"/>
    <mergeCell ref="E157:E161"/>
    <mergeCell ref="E162:E166"/>
    <mergeCell ref="E92:E96"/>
    <mergeCell ref="E97:E101"/>
    <mergeCell ref="E102:E106"/>
    <mergeCell ref="E137:E141"/>
    <mergeCell ref="E142:E146"/>
    <mergeCell ref="E117:E121"/>
    <mergeCell ref="E122:E126"/>
    <mergeCell ref="E127:E131"/>
    <mergeCell ref="E62:E66"/>
    <mergeCell ref="E67:E71"/>
    <mergeCell ref="E72:E76"/>
    <mergeCell ref="E77:E81"/>
    <mergeCell ref="E82:E86"/>
    <mergeCell ref="E87:E91"/>
    <mergeCell ref="E32:E36"/>
    <mergeCell ref="E37:E41"/>
    <mergeCell ref="E42:E46"/>
    <mergeCell ref="E47:E51"/>
    <mergeCell ref="E52:E56"/>
    <mergeCell ref="E57:E61"/>
    <mergeCell ref="E2:E6"/>
    <mergeCell ref="E7:E11"/>
    <mergeCell ref="E12:E16"/>
    <mergeCell ref="E17:E21"/>
    <mergeCell ref="E22:E26"/>
    <mergeCell ref="E27:E31"/>
  </mergeCells>
  <conditionalFormatting sqref="K2:L16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16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166">
    <cfRule type="containsText" dxfId="1" priority="3" operator="containsText" text="No">
      <formula>NOT(ISERROR(SEARCH("No",N2)))</formula>
    </cfRule>
    <cfRule type="containsText" dxfId="0" priority="4" operator="containsText" text="Yes">
      <formula>NOT(ISERROR(SEARCH("Yes",N2)))</formula>
    </cfRule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2:H16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I1:J166"/>
  <sheetViews>
    <sheetView tabSelected="1" workbookViewId="0">
      <selection activeCell="E5" sqref="E5"/>
    </sheetView>
  </sheetViews>
  <sheetFormatPr defaultRowHeight="15" x14ac:dyDescent="0.25"/>
  <sheetData>
    <row r="1" spans="9:10" x14ac:dyDescent="0.25">
      <c r="I1" t="s">
        <v>470</v>
      </c>
      <c r="J1" t="s">
        <v>471</v>
      </c>
    </row>
    <row r="2" spans="9:10" x14ac:dyDescent="0.25">
      <c r="I2">
        <v>5</v>
      </c>
      <c r="J2">
        <v>3.85</v>
      </c>
    </row>
    <row r="3" spans="9:10" x14ac:dyDescent="0.25">
      <c r="I3">
        <v>5</v>
      </c>
      <c r="J3">
        <v>2.9729999999999999</v>
      </c>
    </row>
    <row r="4" spans="9:10" x14ac:dyDescent="0.25">
      <c r="I4">
        <v>5</v>
      </c>
      <c r="J4">
        <v>2.907</v>
      </c>
    </row>
    <row r="5" spans="9:10" x14ac:dyDescent="0.25">
      <c r="I5">
        <v>5</v>
      </c>
      <c r="J5">
        <v>2.9609999999999999</v>
      </c>
    </row>
    <row r="6" spans="9:10" x14ac:dyDescent="0.25">
      <c r="I6">
        <v>5</v>
      </c>
      <c r="J6">
        <v>2.742</v>
      </c>
    </row>
    <row r="7" spans="9:10" x14ac:dyDescent="0.25">
      <c r="I7">
        <v>15</v>
      </c>
      <c r="J7">
        <v>8.9309999999999992</v>
      </c>
    </row>
    <row r="8" spans="9:10" x14ac:dyDescent="0.25">
      <c r="I8">
        <v>15</v>
      </c>
      <c r="J8">
        <v>4.0250000000000004</v>
      </c>
    </row>
    <row r="9" spans="9:10" x14ac:dyDescent="0.25">
      <c r="I9">
        <v>15</v>
      </c>
      <c r="J9">
        <v>3.6509999999999998</v>
      </c>
    </row>
    <row r="10" spans="9:10" x14ac:dyDescent="0.25">
      <c r="I10">
        <v>15</v>
      </c>
      <c r="J10">
        <v>3.9390000000000001</v>
      </c>
    </row>
    <row r="11" spans="9:10" x14ac:dyDescent="0.25">
      <c r="I11">
        <v>15</v>
      </c>
      <c r="J11">
        <v>4.3620000000000001</v>
      </c>
    </row>
    <row r="12" spans="9:10" x14ac:dyDescent="0.25">
      <c r="I12">
        <v>13</v>
      </c>
      <c r="J12">
        <v>4.7169999999999996</v>
      </c>
    </row>
    <row r="13" spans="9:10" x14ac:dyDescent="0.25">
      <c r="I13">
        <v>16</v>
      </c>
      <c r="J13">
        <v>5.3310000000000004</v>
      </c>
    </row>
    <row r="14" spans="9:10" x14ac:dyDescent="0.25">
      <c r="I14">
        <v>16</v>
      </c>
      <c r="J14">
        <v>3.5270000000000001</v>
      </c>
    </row>
    <row r="15" spans="9:10" x14ac:dyDescent="0.25">
      <c r="I15">
        <v>16</v>
      </c>
      <c r="J15">
        <v>4.9809999999999999</v>
      </c>
    </row>
    <row r="16" spans="9:10" x14ac:dyDescent="0.25">
      <c r="I16">
        <v>16</v>
      </c>
      <c r="J16">
        <v>3.7559999999999998</v>
      </c>
    </row>
    <row r="17" spans="9:10" x14ac:dyDescent="0.25">
      <c r="I17">
        <v>14</v>
      </c>
      <c r="J17">
        <v>4.3730000000000002</v>
      </c>
    </row>
    <row r="18" spans="9:10" x14ac:dyDescent="0.25">
      <c r="I18">
        <v>14</v>
      </c>
      <c r="J18">
        <v>4.415</v>
      </c>
    </row>
    <row r="19" spans="9:10" x14ac:dyDescent="0.25">
      <c r="I19">
        <v>14</v>
      </c>
      <c r="J19">
        <v>4.4720000000000004</v>
      </c>
    </row>
    <row r="20" spans="9:10" x14ac:dyDescent="0.25">
      <c r="I20">
        <v>14</v>
      </c>
      <c r="J20">
        <v>3.35</v>
      </c>
    </row>
    <row r="21" spans="9:10" x14ac:dyDescent="0.25">
      <c r="I21">
        <v>14</v>
      </c>
      <c r="J21">
        <v>3.5329999999999999</v>
      </c>
    </row>
    <row r="22" spans="9:10" x14ac:dyDescent="0.25">
      <c r="I22">
        <v>11</v>
      </c>
      <c r="J22">
        <v>3.6019999999999999</v>
      </c>
    </row>
    <row r="23" spans="9:10" x14ac:dyDescent="0.25">
      <c r="I23">
        <v>11</v>
      </c>
      <c r="J23">
        <v>2.746</v>
      </c>
    </row>
    <row r="24" spans="9:10" x14ac:dyDescent="0.25">
      <c r="I24">
        <v>11</v>
      </c>
      <c r="J24">
        <v>2.887</v>
      </c>
    </row>
    <row r="25" spans="9:10" x14ac:dyDescent="0.25">
      <c r="I25">
        <v>11</v>
      </c>
      <c r="J25">
        <v>2.86</v>
      </c>
    </row>
    <row r="26" spans="9:10" x14ac:dyDescent="0.25">
      <c r="I26">
        <v>13</v>
      </c>
      <c r="J26">
        <v>2.6840000000000002</v>
      </c>
    </row>
    <row r="27" spans="9:10" x14ac:dyDescent="0.25">
      <c r="I27">
        <v>17</v>
      </c>
      <c r="J27">
        <v>3.9369999999999998</v>
      </c>
    </row>
    <row r="28" spans="9:10" x14ac:dyDescent="0.25">
      <c r="I28">
        <v>17</v>
      </c>
      <c r="J28">
        <v>3.246</v>
      </c>
    </row>
    <row r="29" spans="9:10" x14ac:dyDescent="0.25">
      <c r="I29">
        <v>17</v>
      </c>
      <c r="J29">
        <v>3.2149999999999999</v>
      </c>
    </row>
    <row r="30" spans="9:10" x14ac:dyDescent="0.25">
      <c r="I30">
        <v>17</v>
      </c>
      <c r="J30">
        <v>3.1789999999999998</v>
      </c>
    </row>
    <row r="31" spans="9:10" x14ac:dyDescent="0.25">
      <c r="I31">
        <v>17</v>
      </c>
      <c r="J31">
        <v>3.0649999999999999</v>
      </c>
    </row>
    <row r="32" spans="9:10" x14ac:dyDescent="0.25">
      <c r="I32">
        <v>15</v>
      </c>
      <c r="J32">
        <v>4.1719999999999997</v>
      </c>
    </row>
    <row r="33" spans="9:10" x14ac:dyDescent="0.25">
      <c r="I33">
        <v>15</v>
      </c>
      <c r="J33">
        <v>3.927</v>
      </c>
    </row>
    <row r="34" spans="9:10" x14ac:dyDescent="0.25">
      <c r="I34">
        <v>15</v>
      </c>
      <c r="J34">
        <v>3.5019999999999998</v>
      </c>
    </row>
    <row r="35" spans="9:10" x14ac:dyDescent="0.25">
      <c r="I35">
        <v>15</v>
      </c>
      <c r="J35">
        <v>3.1869999999999998</v>
      </c>
    </row>
    <row r="36" spans="9:10" x14ac:dyDescent="0.25">
      <c r="I36">
        <v>14</v>
      </c>
      <c r="J36">
        <v>3.6739999999999999</v>
      </c>
    </row>
    <row r="37" spans="9:10" x14ac:dyDescent="0.25">
      <c r="I37">
        <v>17</v>
      </c>
      <c r="J37">
        <v>4.5190000000000001</v>
      </c>
    </row>
    <row r="38" spans="9:10" x14ac:dyDescent="0.25">
      <c r="I38">
        <v>17</v>
      </c>
      <c r="J38">
        <v>3.528</v>
      </c>
    </row>
    <row r="39" spans="9:10" x14ac:dyDescent="0.25">
      <c r="I39">
        <v>17</v>
      </c>
      <c r="J39">
        <v>3.609</v>
      </c>
    </row>
    <row r="40" spans="9:10" x14ac:dyDescent="0.25">
      <c r="I40">
        <v>18</v>
      </c>
      <c r="J40">
        <v>3.5129999999999999</v>
      </c>
    </row>
    <row r="41" spans="9:10" x14ac:dyDescent="0.25">
      <c r="I41">
        <v>18</v>
      </c>
      <c r="J41">
        <v>5.7430000000000003</v>
      </c>
    </row>
    <row r="42" spans="9:10" x14ac:dyDescent="0.25">
      <c r="I42">
        <v>14</v>
      </c>
      <c r="J42">
        <v>3.488</v>
      </c>
    </row>
    <row r="43" spans="9:10" x14ac:dyDescent="0.25">
      <c r="I43">
        <v>14</v>
      </c>
      <c r="J43">
        <v>3.214</v>
      </c>
    </row>
    <row r="44" spans="9:10" x14ac:dyDescent="0.25">
      <c r="I44">
        <v>14</v>
      </c>
      <c r="J44">
        <v>3.8050000000000002</v>
      </c>
    </row>
    <row r="45" spans="9:10" x14ac:dyDescent="0.25">
      <c r="I45">
        <v>13</v>
      </c>
      <c r="J45">
        <v>3.8279999999999998</v>
      </c>
    </row>
    <row r="46" spans="9:10" x14ac:dyDescent="0.25">
      <c r="I46">
        <v>14</v>
      </c>
      <c r="J46">
        <v>6.14</v>
      </c>
    </row>
    <row r="47" spans="9:10" x14ac:dyDescent="0.25">
      <c r="I47">
        <v>19</v>
      </c>
      <c r="J47">
        <v>4.6420000000000003</v>
      </c>
    </row>
    <row r="48" spans="9:10" x14ac:dyDescent="0.25">
      <c r="I48">
        <v>19</v>
      </c>
      <c r="J48">
        <v>4.0490000000000004</v>
      </c>
    </row>
    <row r="49" spans="9:10" x14ac:dyDescent="0.25">
      <c r="I49">
        <v>19</v>
      </c>
      <c r="J49">
        <v>4.375</v>
      </c>
    </row>
    <row r="50" spans="9:10" x14ac:dyDescent="0.25">
      <c r="I50">
        <v>19</v>
      </c>
      <c r="J50">
        <v>3.7389999999999999</v>
      </c>
    </row>
    <row r="51" spans="9:10" x14ac:dyDescent="0.25">
      <c r="I51">
        <v>19</v>
      </c>
      <c r="J51">
        <v>3.6739999999999999</v>
      </c>
    </row>
    <row r="52" spans="9:10" x14ac:dyDescent="0.25">
      <c r="I52">
        <v>16</v>
      </c>
      <c r="J52">
        <v>3.6419999999999999</v>
      </c>
    </row>
    <row r="53" spans="9:10" x14ac:dyDescent="0.25">
      <c r="I53">
        <v>18</v>
      </c>
      <c r="J53">
        <v>3.8220000000000001</v>
      </c>
    </row>
    <row r="54" spans="9:10" x14ac:dyDescent="0.25">
      <c r="I54">
        <v>18</v>
      </c>
      <c r="J54">
        <v>3.448</v>
      </c>
    </row>
    <row r="55" spans="9:10" x14ac:dyDescent="0.25">
      <c r="I55">
        <v>18</v>
      </c>
      <c r="J55">
        <v>3.3479999999999999</v>
      </c>
    </row>
    <row r="56" spans="9:10" x14ac:dyDescent="0.25">
      <c r="I56">
        <v>13</v>
      </c>
      <c r="J56">
        <v>3.1779999999999999</v>
      </c>
    </row>
    <row r="57" spans="9:10" x14ac:dyDescent="0.25">
      <c r="I57">
        <v>26</v>
      </c>
      <c r="J57">
        <v>4.3970000000000002</v>
      </c>
    </row>
    <row r="58" spans="9:10" x14ac:dyDescent="0.25">
      <c r="I58">
        <v>19</v>
      </c>
      <c r="J58">
        <v>4.5019999999999998</v>
      </c>
    </row>
    <row r="59" spans="9:10" x14ac:dyDescent="0.25">
      <c r="I59">
        <v>25</v>
      </c>
      <c r="J59">
        <v>4.7569999999999997</v>
      </c>
    </row>
    <row r="60" spans="9:10" x14ac:dyDescent="0.25">
      <c r="I60">
        <v>22</v>
      </c>
      <c r="J60">
        <v>4.9050000000000002</v>
      </c>
    </row>
    <row r="61" spans="9:10" x14ac:dyDescent="0.25">
      <c r="I61">
        <v>26</v>
      </c>
      <c r="J61">
        <v>5.0179999999999998</v>
      </c>
    </row>
    <row r="62" spans="9:10" x14ac:dyDescent="0.25">
      <c r="I62">
        <v>17</v>
      </c>
      <c r="J62">
        <v>3.6989999999999998</v>
      </c>
    </row>
    <row r="63" spans="9:10" x14ac:dyDescent="0.25">
      <c r="I63">
        <v>17</v>
      </c>
      <c r="J63">
        <v>3.2810000000000001</v>
      </c>
    </row>
    <row r="64" spans="9:10" x14ac:dyDescent="0.25">
      <c r="I64">
        <v>17</v>
      </c>
      <c r="J64">
        <v>3.327</v>
      </c>
    </row>
    <row r="65" spans="9:10" x14ac:dyDescent="0.25">
      <c r="I65">
        <v>13</v>
      </c>
      <c r="J65">
        <v>3.65</v>
      </c>
    </row>
    <row r="66" spans="9:10" x14ac:dyDescent="0.25">
      <c r="I66">
        <v>17</v>
      </c>
      <c r="J66">
        <v>4.5069999999999997</v>
      </c>
    </row>
    <row r="67" spans="9:10" x14ac:dyDescent="0.25">
      <c r="I67">
        <v>15</v>
      </c>
      <c r="J67">
        <v>3.2850000000000001</v>
      </c>
    </row>
    <row r="68" spans="9:10" x14ac:dyDescent="0.25">
      <c r="I68">
        <v>20</v>
      </c>
      <c r="J68">
        <v>4.2649999999999997</v>
      </c>
    </row>
    <row r="69" spans="9:10" x14ac:dyDescent="0.25">
      <c r="I69">
        <v>16</v>
      </c>
      <c r="J69">
        <v>3.9489999999999998</v>
      </c>
    </row>
    <row r="70" spans="9:10" x14ac:dyDescent="0.25">
      <c r="I70">
        <v>16</v>
      </c>
      <c r="J70">
        <v>3.3610000000000002</v>
      </c>
    </row>
    <row r="71" spans="9:10" x14ac:dyDescent="0.25">
      <c r="I71">
        <v>16</v>
      </c>
      <c r="J71">
        <v>3.7879999999999998</v>
      </c>
    </row>
    <row r="72" spans="9:10" x14ac:dyDescent="0.25">
      <c r="I72">
        <v>14</v>
      </c>
      <c r="J72">
        <v>3.581</v>
      </c>
    </row>
    <row r="73" spans="9:10" x14ac:dyDescent="0.25">
      <c r="I73">
        <v>14</v>
      </c>
      <c r="J73">
        <v>3.673</v>
      </c>
    </row>
    <row r="74" spans="9:10" x14ac:dyDescent="0.25">
      <c r="I74">
        <v>14</v>
      </c>
      <c r="J74">
        <v>3.5760000000000001</v>
      </c>
    </row>
    <row r="75" spans="9:10" x14ac:dyDescent="0.25">
      <c r="I75">
        <v>14</v>
      </c>
      <c r="J75">
        <v>4.3159999999999998</v>
      </c>
    </row>
    <row r="76" spans="9:10" x14ac:dyDescent="0.25">
      <c r="I76">
        <v>17</v>
      </c>
      <c r="J76">
        <v>4.2409999999999997</v>
      </c>
    </row>
    <row r="77" spans="9:10" x14ac:dyDescent="0.25">
      <c r="I77">
        <v>18</v>
      </c>
      <c r="J77">
        <v>3.8809999999999998</v>
      </c>
    </row>
    <row r="78" spans="9:10" x14ac:dyDescent="0.25">
      <c r="I78">
        <v>18</v>
      </c>
      <c r="J78">
        <v>4.5209999999999999</v>
      </c>
    </row>
    <row r="79" spans="9:10" x14ac:dyDescent="0.25">
      <c r="I79">
        <v>18</v>
      </c>
      <c r="J79">
        <v>4.3769999999999998</v>
      </c>
    </row>
    <row r="80" spans="9:10" x14ac:dyDescent="0.25">
      <c r="I80">
        <v>18</v>
      </c>
      <c r="J80">
        <v>3.6139999999999999</v>
      </c>
    </row>
    <row r="81" spans="9:10" x14ac:dyDescent="0.25">
      <c r="I81">
        <v>16</v>
      </c>
      <c r="J81">
        <v>3.8290000000000002</v>
      </c>
    </row>
    <row r="82" spans="9:10" x14ac:dyDescent="0.25">
      <c r="I82">
        <v>20</v>
      </c>
      <c r="J82">
        <v>3.843</v>
      </c>
    </row>
    <row r="83" spans="9:10" x14ac:dyDescent="0.25">
      <c r="I83">
        <v>20</v>
      </c>
      <c r="J83">
        <v>4.0369999999999999</v>
      </c>
    </row>
    <row r="84" spans="9:10" x14ac:dyDescent="0.25">
      <c r="I84">
        <v>20</v>
      </c>
      <c r="J84">
        <v>4.2649999999999997</v>
      </c>
    </row>
    <row r="85" spans="9:10" x14ac:dyDescent="0.25">
      <c r="I85">
        <v>19</v>
      </c>
      <c r="J85">
        <v>3.9950000000000001</v>
      </c>
    </row>
    <row r="86" spans="9:10" x14ac:dyDescent="0.25">
      <c r="I86">
        <v>20</v>
      </c>
      <c r="J86">
        <v>4.2469999999999999</v>
      </c>
    </row>
    <row r="87" spans="9:10" x14ac:dyDescent="0.25">
      <c r="I87">
        <v>17</v>
      </c>
      <c r="J87">
        <v>3.4390000000000001</v>
      </c>
    </row>
    <row r="88" spans="9:10" x14ac:dyDescent="0.25">
      <c r="I88">
        <v>17</v>
      </c>
      <c r="J88">
        <v>3.766</v>
      </c>
    </row>
    <row r="89" spans="9:10" x14ac:dyDescent="0.25">
      <c r="I89">
        <v>17</v>
      </c>
      <c r="J89">
        <v>3.9489999999999998</v>
      </c>
    </row>
    <row r="90" spans="9:10" x14ac:dyDescent="0.25">
      <c r="I90">
        <v>17</v>
      </c>
      <c r="J90">
        <v>3.8460000000000001</v>
      </c>
    </row>
    <row r="91" spans="9:10" x14ac:dyDescent="0.25">
      <c r="I91">
        <v>17</v>
      </c>
      <c r="J91">
        <v>5.601</v>
      </c>
    </row>
    <row r="92" spans="9:10" x14ac:dyDescent="0.25">
      <c r="I92">
        <v>18</v>
      </c>
      <c r="J92">
        <v>3.7639999999999998</v>
      </c>
    </row>
    <row r="93" spans="9:10" x14ac:dyDescent="0.25">
      <c r="I93">
        <v>18</v>
      </c>
      <c r="J93">
        <v>3.879</v>
      </c>
    </row>
    <row r="94" spans="9:10" x14ac:dyDescent="0.25">
      <c r="I94">
        <v>18</v>
      </c>
      <c r="J94">
        <v>3.56</v>
      </c>
    </row>
    <row r="95" spans="9:10" x14ac:dyDescent="0.25">
      <c r="I95">
        <v>18</v>
      </c>
      <c r="J95">
        <v>4.3769999999999998</v>
      </c>
    </row>
    <row r="96" spans="9:10" x14ac:dyDescent="0.25">
      <c r="I96">
        <v>18</v>
      </c>
      <c r="J96">
        <v>4.1219999999999999</v>
      </c>
    </row>
    <row r="97" spans="9:10" x14ac:dyDescent="0.25">
      <c r="I97">
        <v>6</v>
      </c>
      <c r="J97">
        <v>3.4430000000000001</v>
      </c>
    </row>
    <row r="98" spans="9:10" x14ac:dyDescent="0.25">
      <c r="I98">
        <v>6</v>
      </c>
      <c r="J98">
        <v>3.5739999999999998</v>
      </c>
    </row>
    <row r="99" spans="9:10" x14ac:dyDescent="0.25">
      <c r="I99">
        <v>6</v>
      </c>
      <c r="J99">
        <v>3.5819999999999999</v>
      </c>
    </row>
    <row r="100" spans="9:10" x14ac:dyDescent="0.25">
      <c r="I100">
        <v>6</v>
      </c>
      <c r="J100">
        <v>3.7</v>
      </c>
    </row>
    <row r="101" spans="9:10" x14ac:dyDescent="0.25">
      <c r="I101">
        <v>6</v>
      </c>
      <c r="J101">
        <v>3.6640000000000001</v>
      </c>
    </row>
    <row r="102" spans="9:10" x14ac:dyDescent="0.25">
      <c r="I102">
        <v>5</v>
      </c>
      <c r="J102">
        <v>3.53</v>
      </c>
    </row>
    <row r="103" spans="9:10" x14ac:dyDescent="0.25">
      <c r="I103">
        <v>2</v>
      </c>
      <c r="J103">
        <v>2.4590000000000001</v>
      </c>
    </row>
    <row r="104" spans="9:10" x14ac:dyDescent="0.25">
      <c r="I104">
        <v>5</v>
      </c>
      <c r="J104">
        <v>3.7360000000000002</v>
      </c>
    </row>
    <row r="105" spans="9:10" x14ac:dyDescent="0.25">
      <c r="I105">
        <v>5</v>
      </c>
      <c r="J105">
        <v>3.7320000000000002</v>
      </c>
    </row>
    <row r="106" spans="9:10" x14ac:dyDescent="0.25">
      <c r="I106">
        <v>5</v>
      </c>
      <c r="J106">
        <v>3.56</v>
      </c>
    </row>
    <row r="107" spans="9:10" x14ac:dyDescent="0.25">
      <c r="I107">
        <v>8</v>
      </c>
      <c r="J107">
        <v>3.6240000000000001</v>
      </c>
    </row>
    <row r="108" spans="9:10" x14ac:dyDescent="0.25">
      <c r="I108">
        <v>8</v>
      </c>
      <c r="J108">
        <v>4.0650000000000004</v>
      </c>
    </row>
    <row r="109" spans="9:10" x14ac:dyDescent="0.25">
      <c r="I109">
        <v>8</v>
      </c>
      <c r="J109">
        <v>4.5940000000000003</v>
      </c>
    </row>
    <row r="110" spans="9:10" x14ac:dyDescent="0.25">
      <c r="I110">
        <v>8</v>
      </c>
      <c r="J110">
        <v>4.609</v>
      </c>
    </row>
    <row r="111" spans="9:10" x14ac:dyDescent="0.25">
      <c r="I111">
        <v>8</v>
      </c>
      <c r="J111">
        <v>4.3380000000000001</v>
      </c>
    </row>
    <row r="112" spans="9:10" x14ac:dyDescent="0.25">
      <c r="I112">
        <v>12</v>
      </c>
      <c r="J112">
        <v>3.048</v>
      </c>
    </row>
    <row r="113" spans="9:10" x14ac:dyDescent="0.25">
      <c r="I113">
        <v>12</v>
      </c>
      <c r="J113">
        <v>3.6379999999999999</v>
      </c>
    </row>
    <row r="114" spans="9:10" x14ac:dyDescent="0.25">
      <c r="I114">
        <v>12</v>
      </c>
      <c r="J114">
        <v>3.8860000000000001</v>
      </c>
    </row>
    <row r="115" spans="9:10" x14ac:dyDescent="0.25">
      <c r="I115">
        <v>12</v>
      </c>
      <c r="J115">
        <v>3.738</v>
      </c>
    </row>
    <row r="116" spans="9:10" x14ac:dyDescent="0.25">
      <c r="I116">
        <v>12</v>
      </c>
      <c r="J116">
        <v>3.6269999999999998</v>
      </c>
    </row>
    <row r="117" spans="9:10" x14ac:dyDescent="0.25">
      <c r="I117">
        <v>11</v>
      </c>
      <c r="J117">
        <v>3.17</v>
      </c>
    </row>
    <row r="118" spans="9:10" x14ac:dyDescent="0.25">
      <c r="I118">
        <v>11</v>
      </c>
      <c r="J118">
        <v>3.238</v>
      </c>
    </row>
    <row r="119" spans="9:10" x14ac:dyDescent="0.25">
      <c r="I119">
        <v>11</v>
      </c>
      <c r="J119">
        <v>3.1640000000000001</v>
      </c>
    </row>
    <row r="120" spans="9:10" x14ac:dyDescent="0.25">
      <c r="I120">
        <v>11</v>
      </c>
      <c r="J120">
        <v>3.2959999999999998</v>
      </c>
    </row>
    <row r="121" spans="9:10" x14ac:dyDescent="0.25">
      <c r="I121">
        <v>11</v>
      </c>
      <c r="J121">
        <v>4.2610000000000001</v>
      </c>
    </row>
    <row r="122" spans="9:10" x14ac:dyDescent="0.25">
      <c r="I122">
        <v>12</v>
      </c>
      <c r="J122">
        <v>3.371</v>
      </c>
    </row>
    <row r="123" spans="9:10" x14ac:dyDescent="0.25">
      <c r="I123">
        <v>8</v>
      </c>
      <c r="J123">
        <v>3.3980000000000001</v>
      </c>
    </row>
    <row r="124" spans="9:10" x14ac:dyDescent="0.25">
      <c r="I124">
        <v>8</v>
      </c>
      <c r="J124">
        <v>3.4580000000000002</v>
      </c>
    </row>
    <row r="125" spans="9:10" x14ac:dyDescent="0.25">
      <c r="I125">
        <v>10</v>
      </c>
      <c r="J125">
        <v>3.5019999999999998</v>
      </c>
    </row>
    <row r="126" spans="9:10" x14ac:dyDescent="0.25">
      <c r="I126">
        <v>10</v>
      </c>
      <c r="J126">
        <v>3.4620000000000002</v>
      </c>
    </row>
    <row r="127" spans="9:10" x14ac:dyDescent="0.25">
      <c r="I127">
        <v>3</v>
      </c>
      <c r="J127">
        <v>2.31</v>
      </c>
    </row>
    <row r="128" spans="9:10" x14ac:dyDescent="0.25">
      <c r="I128">
        <v>3</v>
      </c>
      <c r="J128">
        <v>2.3420000000000001</v>
      </c>
    </row>
    <row r="129" spans="9:10" x14ac:dyDescent="0.25">
      <c r="I129">
        <v>3</v>
      </c>
      <c r="J129">
        <v>2.5129999999999999</v>
      </c>
    </row>
    <row r="130" spans="9:10" x14ac:dyDescent="0.25">
      <c r="I130">
        <v>3</v>
      </c>
      <c r="J130">
        <v>2.6480000000000001</v>
      </c>
    </row>
    <row r="131" spans="9:10" x14ac:dyDescent="0.25">
      <c r="I131">
        <v>3</v>
      </c>
      <c r="J131">
        <v>2.4780000000000002</v>
      </c>
    </row>
    <row r="132" spans="9:10" x14ac:dyDescent="0.25">
      <c r="I132">
        <v>4</v>
      </c>
      <c r="J132">
        <v>2.4940000000000002</v>
      </c>
    </row>
    <row r="133" spans="9:10" x14ac:dyDescent="0.25">
      <c r="I133">
        <v>4</v>
      </c>
      <c r="J133">
        <v>2.6120000000000001</v>
      </c>
    </row>
    <row r="134" spans="9:10" x14ac:dyDescent="0.25">
      <c r="I134">
        <v>4</v>
      </c>
      <c r="J134">
        <v>2.5670000000000002</v>
      </c>
    </row>
    <row r="135" spans="9:10" x14ac:dyDescent="0.25">
      <c r="I135">
        <v>4</v>
      </c>
      <c r="J135">
        <v>3.5920000000000001</v>
      </c>
    </row>
    <row r="136" spans="9:10" x14ac:dyDescent="0.25">
      <c r="I136">
        <v>4</v>
      </c>
      <c r="J136">
        <v>2.6339999999999999</v>
      </c>
    </row>
    <row r="137" spans="9:10" x14ac:dyDescent="0.25">
      <c r="I137">
        <v>3</v>
      </c>
      <c r="J137">
        <v>2.7429999999999999</v>
      </c>
    </row>
    <row r="138" spans="9:10" x14ac:dyDescent="0.25">
      <c r="I138">
        <v>4</v>
      </c>
      <c r="J138">
        <v>2.4249999999999998</v>
      </c>
    </row>
    <row r="139" spans="9:10" x14ac:dyDescent="0.25">
      <c r="I139">
        <v>3</v>
      </c>
      <c r="J139">
        <v>2.3980000000000001</v>
      </c>
    </row>
    <row r="140" spans="9:10" x14ac:dyDescent="0.25">
      <c r="I140">
        <v>2</v>
      </c>
      <c r="J140">
        <v>2.4710000000000001</v>
      </c>
    </row>
    <row r="141" spans="9:10" x14ac:dyDescent="0.25">
      <c r="I141">
        <v>4</v>
      </c>
      <c r="J141">
        <v>2.61</v>
      </c>
    </row>
    <row r="142" spans="9:10" x14ac:dyDescent="0.25">
      <c r="I142">
        <v>2</v>
      </c>
      <c r="J142">
        <v>2.2669999999999999</v>
      </c>
    </row>
    <row r="143" spans="9:10" x14ac:dyDescent="0.25">
      <c r="I143">
        <v>2</v>
      </c>
      <c r="J143">
        <v>2.2040000000000002</v>
      </c>
    </row>
    <row r="144" spans="9:10" x14ac:dyDescent="0.25">
      <c r="I144">
        <v>3</v>
      </c>
      <c r="J144">
        <v>2.3519999999999999</v>
      </c>
    </row>
    <row r="145" spans="9:10" x14ac:dyDescent="0.25">
      <c r="I145">
        <v>2</v>
      </c>
      <c r="J145">
        <v>2.5720000000000001</v>
      </c>
    </row>
    <row r="146" spans="9:10" x14ac:dyDescent="0.25">
      <c r="I146">
        <v>2</v>
      </c>
      <c r="J146">
        <v>2.343</v>
      </c>
    </row>
    <row r="147" spans="9:10" x14ac:dyDescent="0.25">
      <c r="I147">
        <v>2</v>
      </c>
      <c r="J147">
        <v>2.2269999999999999</v>
      </c>
    </row>
    <row r="148" spans="9:10" x14ac:dyDescent="0.25">
      <c r="I148">
        <v>3</v>
      </c>
      <c r="J148">
        <v>2.3730000000000002</v>
      </c>
    </row>
    <row r="149" spans="9:10" x14ac:dyDescent="0.25">
      <c r="I149">
        <v>3</v>
      </c>
      <c r="J149">
        <v>2.5739999999999998</v>
      </c>
    </row>
    <row r="150" spans="9:10" x14ac:dyDescent="0.25">
      <c r="I150">
        <v>4</v>
      </c>
      <c r="J150">
        <v>2.5489999999999999</v>
      </c>
    </row>
    <row r="151" spans="9:10" x14ac:dyDescent="0.25">
      <c r="I151">
        <v>3</v>
      </c>
      <c r="J151">
        <v>2.665</v>
      </c>
    </row>
    <row r="152" spans="9:10" x14ac:dyDescent="0.25">
      <c r="I152">
        <v>13</v>
      </c>
      <c r="J152">
        <v>2.931</v>
      </c>
    </row>
    <row r="153" spans="9:10" x14ac:dyDescent="0.25">
      <c r="I153">
        <v>13</v>
      </c>
      <c r="J153">
        <v>3.3540000000000001</v>
      </c>
    </row>
    <row r="154" spans="9:10" x14ac:dyDescent="0.25">
      <c r="I154">
        <v>13</v>
      </c>
      <c r="J154">
        <v>3.0979999999999999</v>
      </c>
    </row>
    <row r="155" spans="9:10" x14ac:dyDescent="0.25">
      <c r="I155">
        <v>13</v>
      </c>
      <c r="J155">
        <v>3.08</v>
      </c>
    </row>
    <row r="156" spans="9:10" x14ac:dyDescent="0.25">
      <c r="I156">
        <v>13</v>
      </c>
      <c r="J156">
        <v>3.202</v>
      </c>
    </row>
    <row r="157" spans="9:10" x14ac:dyDescent="0.25">
      <c r="I157">
        <v>8</v>
      </c>
      <c r="J157">
        <v>2.907</v>
      </c>
    </row>
    <row r="158" spans="9:10" x14ac:dyDescent="0.25">
      <c r="I158">
        <v>8</v>
      </c>
      <c r="J158">
        <v>2.7240000000000002</v>
      </c>
    </row>
    <row r="159" spans="9:10" x14ac:dyDescent="0.25">
      <c r="I159">
        <v>8</v>
      </c>
      <c r="J159">
        <v>2.746</v>
      </c>
    </row>
    <row r="160" spans="9:10" x14ac:dyDescent="0.25">
      <c r="I160">
        <v>8</v>
      </c>
      <c r="J160">
        <v>2.7669999999999999</v>
      </c>
    </row>
    <row r="161" spans="9:10" x14ac:dyDescent="0.25">
      <c r="I161">
        <v>8</v>
      </c>
      <c r="J161">
        <v>2.7669999999999999</v>
      </c>
    </row>
    <row r="162" spans="9:10" x14ac:dyDescent="0.25">
      <c r="I162">
        <v>9</v>
      </c>
      <c r="J162">
        <v>2.9630000000000001</v>
      </c>
    </row>
    <row r="163" spans="9:10" x14ac:dyDescent="0.25">
      <c r="I163">
        <v>7</v>
      </c>
      <c r="J163">
        <v>3.3140000000000001</v>
      </c>
    </row>
    <row r="164" spans="9:10" x14ac:dyDescent="0.25">
      <c r="I164">
        <v>9</v>
      </c>
      <c r="J164">
        <v>3.09</v>
      </c>
    </row>
    <row r="165" spans="9:10" x14ac:dyDescent="0.25">
      <c r="I165">
        <v>9</v>
      </c>
      <c r="J165">
        <v>3.0859999999999999</v>
      </c>
    </row>
    <row r="166" spans="9:10" x14ac:dyDescent="0.25">
      <c r="I166">
        <v>9</v>
      </c>
      <c r="J166">
        <v>3.2480000000000002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Kieron</dc:creator>
  <cp:lastModifiedBy>Kieron</cp:lastModifiedBy>
  <dcterms:created xsi:type="dcterms:W3CDTF">2021-05-05T08:43:16Z</dcterms:created>
  <dcterms:modified xsi:type="dcterms:W3CDTF">2021-05-05T20:00:58Z</dcterms:modified>
</cp:coreProperties>
</file>